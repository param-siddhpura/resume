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a72f99ba6488e6/Documents/"/>
    </mc:Choice>
  </mc:AlternateContent>
  <xr:revisionPtr revIDLastSave="0" documentId="8_{0FE6A405-E4B4-4BF4-B3A2-C154BEEFB6A7}" xr6:coauthVersionLast="47" xr6:coauthVersionMax="47" xr10:uidLastSave="{00000000-0000-0000-0000-000000000000}"/>
  <bookViews>
    <workbookView xWindow="-110" yWindow="-110" windowWidth="19420" windowHeight="11020" activeTab="11" xr2:uid="{247400A8-F291-4E4F-98EE-9F79F55E6490}"/>
  </bookViews>
  <sheets>
    <sheet name="Amd_Cricket" sheetId="1" r:id="rId1"/>
    <sheet name="Amd_Football" sheetId="3" r:id="rId2"/>
    <sheet name="Amd_Badminton" sheetId="2" r:id="rId3"/>
    <sheet name="Amd_Swimming" sheetId="4" r:id="rId4"/>
    <sheet name="Amd_Tennis" sheetId="5" r:id="rId5"/>
    <sheet name="Amd_Vollyball" sheetId="6" r:id="rId6"/>
    <sheet name="Amd_Basketball" sheetId="7" r:id="rId7"/>
    <sheet name="Amd_Karate" sheetId="8" r:id="rId8"/>
    <sheet name="Amd_Skating" sheetId="9" r:id="rId9"/>
    <sheet name="Amd_Chess" sheetId="10" r:id="rId10"/>
    <sheet name="Amd_Kabaddi" sheetId="11" r:id="rId11"/>
    <sheet name="Amd_Archery" sheetId="14" r:id="rId12"/>
    <sheet name="Amd_Shooting" sheetId="15" r:id="rId13"/>
    <sheet name=" Amd_LawnTennis" sheetId="18" r:id="rId14"/>
    <sheet name="Total" sheetId="19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8" i="18" l="1"/>
  <c r="B57" i="18"/>
  <c r="B56" i="18"/>
  <c r="B55" i="18"/>
  <c r="B31" i="15"/>
  <c r="B30" i="15"/>
  <c r="B29" i="15"/>
  <c r="B28" i="15"/>
  <c r="B25" i="11"/>
  <c r="B24" i="11"/>
  <c r="B23" i="11"/>
  <c r="B22" i="11"/>
  <c r="B62" i="10"/>
  <c r="B61" i="10"/>
  <c r="B60" i="10"/>
  <c r="B59" i="10"/>
  <c r="B54" i="8"/>
  <c r="B53" i="8"/>
  <c r="B52" i="8"/>
  <c r="B51" i="8"/>
  <c r="B30" i="14"/>
  <c r="B29" i="14"/>
  <c r="B28" i="14"/>
  <c r="B27" i="14"/>
  <c r="B35" i="7"/>
  <c r="B48" i="9"/>
  <c r="B47" i="9"/>
  <c r="B45" i="9"/>
  <c r="B46" i="9"/>
  <c r="B38" i="7"/>
  <c r="B37" i="7"/>
  <c r="B36" i="7"/>
  <c r="B39" i="6"/>
  <c r="B38" i="6"/>
  <c r="B37" i="6"/>
  <c r="B36" i="6"/>
  <c r="B54" i="5"/>
  <c r="B53" i="5"/>
  <c r="B52" i="5"/>
  <c r="B51" i="5"/>
  <c r="B58" i="4"/>
  <c r="B57" i="4"/>
  <c r="B56" i="4"/>
  <c r="B55" i="4"/>
  <c r="B67" i="1"/>
  <c r="B48" i="2"/>
  <c r="B67" i="3"/>
  <c r="B66" i="3"/>
  <c r="B65" i="3"/>
  <c r="B64" i="3"/>
  <c r="B70" i="1"/>
  <c r="B69" i="1"/>
  <c r="B68" i="1"/>
  <c r="B47" i="2"/>
  <c r="B46" i="2"/>
  <c r="B45" i="2"/>
</calcChain>
</file>

<file path=xl/sharedStrings.xml><?xml version="1.0" encoding="utf-8"?>
<sst xmlns="http://schemas.openxmlformats.org/spreadsheetml/2006/main" count="9403" uniqueCount="3579">
  <si>
    <t>Academy Name</t>
  </si>
  <si>
    <t>Sport</t>
  </si>
  <si>
    <t>Academy Type</t>
  </si>
  <si>
    <t>Full Address</t>
  </si>
  <si>
    <t>Area / Locality</t>
  </si>
  <si>
    <t>City</t>
  </si>
  <si>
    <t>Contact Number</t>
  </si>
  <si>
    <t>Google Maps Link</t>
  </si>
  <si>
    <t>Verification Status</t>
  </si>
  <si>
    <t>Primary Source</t>
  </si>
  <si>
    <t>Universal Cricket Academy (Navrangpura)</t>
  </si>
  <si>
    <t>Cricket</t>
  </si>
  <si>
    <t>Academy</t>
  </si>
  <si>
    <t>Navrang Complex, Lalita Park Society Road, beside Yanki Sizler, near St. Kabir School, Navrangpura, Ahmedabad, Gujarat 380009</t>
  </si>
  <si>
    <t>Navrangpura</t>
  </si>
  <si>
    <t>Ahmedabad</t>
  </si>
  <si>
    <t>+91 88666 61900</t>
  </si>
  <si>
    <t>https://www.justdial.com/Ahmedabad/Universal-Cricket-Academy-Near-St-Kabir-School-Navrangpura/079PXX79-XX79-220407064514-H6I9_BZDET</t>
  </si>
  <si>
    <t>Google Maps / Justdial</t>
  </si>
  <si>
    <t>M'Power Cricket Academy</t>
  </si>
  <si>
    <t>Sardar Patel Stadium, near The Sports Club of Gujarat Ltd, Navrangpura, Ahmedabad, Gujarat 380009</t>
  </si>
  <si>
    <t>+91 99096 99514</t>
  </si>
  <si>
    <t>http://www.mpowercricket.com/</t>
  </si>
  <si>
    <t>Official Website / Google Maps</t>
  </si>
  <si>
    <t>STAR Cricket Academy</t>
  </si>
  <si>
    <t>Coaching Centre</t>
  </si>
  <si>
    <t>Sardar Patel Stadium, Stadium Road, Navrangpura, Ahmedabad, Gujarat 380009</t>
  </si>
  <si>
    <t>+91 91065 37299</t>
  </si>
  <si>
    <t>https://cricketupdate.net/</t>
  </si>
  <si>
    <t>Google Maps / Official Site</t>
  </si>
  <si>
    <t>Sunrise Cricket Club &amp; Academy</t>
  </si>
  <si>
    <t>Club</t>
  </si>
  <si>
    <t>Gujarat University, AES Cricket Ground, University Area, Navrangpura, Ahmedabad, Gujarat 380009</t>
  </si>
  <si>
    <t>+91 98240 22757</t>
  </si>
  <si>
    <t>https://www.justdial.com/Ahmedabad/Cricket-Coaching-Classes-in-Navrangpura/nct-10147469</t>
  </si>
  <si>
    <t>CN Sports Academy</t>
  </si>
  <si>
    <t>Sheth Mangaldas Rd, Ambawadi Bazar, Ambawadi, Ahmedabad, Gujarat 380006</t>
  </si>
  <si>
    <t>Ambawadi</t>
  </si>
  <si>
    <t>+91 97272 76898</t>
  </si>
  <si>
    <t>https://cnvidyavihar.edu.in/institutions/special-institutes/sports-academy/</t>
  </si>
  <si>
    <t>Ahmedabad Sports Academy (Ambawadi Branch)</t>
  </si>
  <si>
    <t>CN Sports Academy Grounds, Dr Vikram Sarabhai Road, Ambawadi, Ahmedabad, Gujarat 380006</t>
  </si>
  <si>
    <t>+91 97374 79737</t>
  </si>
  <si>
    <t>http://www.ahmedabadsportsacademy.com/</t>
  </si>
  <si>
    <t>Shreyas Foundation Cricket Coaching Centre</t>
  </si>
  <si>
    <t>Shreyas Foundation, Near Manekbaug Post Office, Shreyas Tekra, Ambawadi, Ahmedabad, Gujarat 380015</t>
  </si>
  <si>
    <t>+91 79 2660 1338</t>
  </si>
  <si>
    <t>https://www.shreyasfoundation.in/sports-activities</t>
  </si>
  <si>
    <t>Official Website / Justdial</t>
  </si>
  <si>
    <t>Ahmedabad Sports Academy (Satellite Branch)</t>
  </si>
  <si>
    <t>3rd Floor, Aangan Banquet, opposite Akruti Heights, Satellite, Jodhpur Village, Ahmedabad, Gujarat 380051</t>
  </si>
  <si>
    <t>Satellite</t>
  </si>
  <si>
    <t>Desire Cricket Academy</t>
  </si>
  <si>
    <t>Safal Prelude, Near Corporate Rd, Prahlad Nagar, Ahmedabad, Gujarat 380015</t>
  </si>
  <si>
    <t>Prahlad Nagar</t>
  </si>
  <si>
    <t>+91 74900 39934</t>
  </si>
  <si>
    <t>https://desirecricketacademy.com/</t>
  </si>
  <si>
    <t>Royal Cricket Academy (Prahlad Nagar)</t>
  </si>
  <si>
    <t>Corporate Rd, Near Ashwaraj Bungalow, Prahlad Nagar, Ahmedabad, Gujarat 380015</t>
  </si>
  <si>
    <t>+91 97243 16461</t>
  </si>
  <si>
    <t>http://www.royalcricketacademy.com/</t>
  </si>
  <si>
    <t>Kahaani Sports Academy</t>
  </si>
  <si>
    <t>Bakeri Ground, Behind Bakeri City, Vejalpur / Prahlad Nagar Belt, Ahmedabad, Gujarat 380051</t>
  </si>
  <si>
    <t>+91 81286 10413</t>
  </si>
  <si>
    <t>https://www.justdial.com/Ahmedabad/Cricket-Coaching-Classes-in-Prahladnagar/nct-10147469</t>
  </si>
  <si>
    <t>MS Dhoni Cricket Academy (Vastrapur)</t>
  </si>
  <si>
    <t>Gujarat University Convention and Exhibition Centre, 132 Feet Ring Rd, near Helmet Circle, Memnagar / Vastrapur, Ahmedabad, Gujarat 380052</t>
  </si>
  <si>
    <t>Vastrapur</t>
  </si>
  <si>
    <t>+91 93276 92740</t>
  </si>
  <si>
    <t>https://www.msdhoniacademy.com/</t>
  </si>
  <si>
    <t>Crick Hub Cricket Academy</t>
  </si>
  <si>
    <t>opp. Status 55, behind Adani CNG, Science Park Rd, Hebatpur, Thaltej / Bodakdev Area, Ahmedabad, Gujarat 380059</t>
  </si>
  <si>
    <t>Bodakdev</t>
  </si>
  <si>
    <t>+91 96623 41026</t>
  </si>
  <si>
    <t>https://maps.google.com/?cid=9333931652618635342</t>
  </si>
  <si>
    <t>Google Maps / Social Media</t>
  </si>
  <si>
    <t>SOM Cricket Academy</t>
  </si>
  <si>
    <t>Canal Rd, Shilaj, Thaltej Area, Ahmedabad, Gujarat 380059</t>
  </si>
  <si>
    <t>Thaltej</t>
  </si>
  <si>
    <t>+91 96965 96967</t>
  </si>
  <si>
    <t>https://maps.google.com/?cid=7468165084920405870</t>
  </si>
  <si>
    <t>Eklavya Sports Academy</t>
  </si>
  <si>
    <t>Training Centre</t>
  </si>
  <si>
    <t>Tulip Bungalow Road, near Enigma Towers, Thaltej, Ahmedabad, Gujarat 380054</t>
  </si>
  <si>
    <t>+91 79 2685 0262</t>
  </si>
  <si>
    <t>https://www.justdial.com/Ahmedabad/Cricket-Coaching-Classes-in-Thaltej/nct-10147469</t>
  </si>
  <si>
    <t>Bajrangi Cricket Academy</t>
  </si>
  <si>
    <t>Status 55, Science Park Rd, Hebatpur, Thaltej, Ahmedabad, Gujarat 380059</t>
  </si>
  <si>
    <t>Google Maps / Directory</t>
  </si>
  <si>
    <t>MS Sports Academy</t>
  </si>
  <si>
    <t>Kali Farm, Near Pariwar Homes, Devnagar Gam, New Sarkhej - Gandhinagar Hwy, Gota / SG Highway, Ahmedabad, Gujarat 382460</t>
  </si>
  <si>
    <t>SG Highway</t>
  </si>
  <si>
    <t>+91 89808 19899</t>
  </si>
  <si>
    <t>https://maps.google.com/?cid=8328761014167101319</t>
  </si>
  <si>
    <t>Google Maps</t>
  </si>
  <si>
    <t>SGVP Surya Sports Academy</t>
  </si>
  <si>
    <t>Nr. SGVP Circle, Sarkhej - Gandhinagar Hwy, Chharodi, Gota / SG Highway, Ahmedabad, Gujarat 382481</t>
  </si>
  <si>
    <t>+91 99099 29049</t>
  </si>
  <si>
    <t>https://sports.sgvp.org/</t>
  </si>
  <si>
    <t>Monarch Cricket Academy</t>
  </si>
  <si>
    <t>TP-85, beside Aleeza Park, near Kadri Party Plot, Sarkhej, SG Highway Area, Ahmedabad, Gujarat 380055</t>
  </si>
  <si>
    <t>Google Maps Listing</t>
  </si>
  <si>
    <t>Future Sports Academy</t>
  </si>
  <si>
    <t>B/h Gala Gymkhana Rd, opp. Aarohi Crest, Aaryan Gloria, South Bopal, Bopal, Ahmedabad, Gujarat 380058</t>
  </si>
  <si>
    <t>South Bopal</t>
  </si>
  <si>
    <t>+91 63591 35256</t>
  </si>
  <si>
    <t>https://maps.google.com/?cid=16023249013063545690</t>
  </si>
  <si>
    <t>Ares Cricket Academy</t>
  </si>
  <si>
    <t>B/h Shell Petrol Pump, South Bopal, Bopal, Ahmedabad, Gujarat 380058</t>
  </si>
  <si>
    <t>+91 78748 55892</t>
  </si>
  <si>
    <t>https://maps.google.com/?cid=17688267232242123995</t>
  </si>
  <si>
    <t>Suramya Farm &amp; Cricket Academy</t>
  </si>
  <si>
    <t>B/H Ishwarkrupa Farm, YMCA Club to S Bopal Rd, Bopal, Ahmedabad, Gujarat 380058</t>
  </si>
  <si>
    <t>+91 98791 84142</t>
  </si>
  <si>
    <t>https://maps.google.com/?cid=8379435889392234654</t>
  </si>
  <si>
    <t>3Wheel Sports Club</t>
  </si>
  <si>
    <t>Opp. East Face, Iscon Ambli Road, Bopal / Ambli, Ahmedabad, Gujarat 380058</t>
  </si>
  <si>
    <t>Bopal</t>
  </si>
  <si>
    <t>+91 63595 61207</t>
  </si>
  <si>
    <t>https://3wheelsportsclub.com/</t>
  </si>
  <si>
    <t>MS Dhoni Cricket Academy (Shela Branch)</t>
  </si>
  <si>
    <t>Near Auda Sports Complex, South Bopal, Shela, Ahmedabad, Gujarat 382115</t>
  </si>
  <si>
    <t>Shela</t>
  </si>
  <si>
    <t>+91 97372 77740</t>
  </si>
  <si>
    <t>Sunrise Cricket Ground &amp; Coaching</t>
  </si>
  <si>
    <t>Shivalik Parkview Rd, near Vishwanath Sarathya, Khadiya, Shela, Ahmedabad, Gujarat 380057</t>
  </si>
  <si>
    <t>+91 84909 77603</t>
  </si>
  <si>
    <t>https://maps.google.com/?cid=10928238779978643028</t>
  </si>
  <si>
    <t>Unicorn Cricket Club</t>
  </si>
  <si>
    <t>Manipur, Bopal - Ghuma Rd, Bopal, Ahmedabad, Gujarat 382115</t>
  </si>
  <si>
    <t>+91 99250 19092</t>
  </si>
  <si>
    <t>https://maps.google.com/?cid=12202685956799057556</t>
  </si>
  <si>
    <t>Jugamos Sports Academy</t>
  </si>
  <si>
    <t>Delhi Public School Bopal, Railway Crossing, near Bopal, Ahmedabad, Gujarat 380058</t>
  </si>
  <si>
    <t>+91 95108 88213</t>
  </si>
  <si>
    <t>https://www.instagram.com/jugamos_sports_academy</t>
  </si>
  <si>
    <t>The R.H. Kapadia Sports Academy</t>
  </si>
  <si>
    <t>Plot No. 906, Bopal - Ghuma Rd, opp. Sanskar Dham School, near Manipur Underpass, Ghuma, Bopal, Ahmedabad, Gujarat 382115</t>
  </si>
  <si>
    <t>+91 95120 40608</t>
  </si>
  <si>
    <t>https://maps.google.com/?cid=11797825595604471961</t>
  </si>
  <si>
    <t>AB Sports Academy</t>
  </si>
  <si>
    <t>11, Murlidhar Party Plot Road, Near Silver Homes, Science City, Sola, Ahmedabad, Gujarat 380059</t>
  </si>
  <si>
    <t>Science City</t>
  </si>
  <si>
    <t>+91 81401 28990</t>
  </si>
  <si>
    <t>https://maps.google.com/?cid=9229045768222953625</t>
  </si>
  <si>
    <t>Neon Sports Academy</t>
  </si>
  <si>
    <t>Aryaman Lane, Beside Anurita Bunglows, Science City to Hebatpur Rd, Thaltej / Shilaj, Ahmedabad, Gujarat 380059</t>
  </si>
  <si>
    <t>+91 97378 88808</t>
  </si>
  <si>
    <t>http://www.neonsportsacademy.com/</t>
  </si>
  <si>
    <t>SRT10 Altevol Centre of Excellence</t>
  </si>
  <si>
    <t>Vaishnodevi Road, F.P 129, Shankus Farm, Swarnim Stone Rd, behind Spinny Park, Gota, Chharodi, Ahmedabad, Gujarat 382481</t>
  </si>
  <si>
    <t>Gota</t>
  </si>
  <si>
    <t>+91 96625 00721</t>
  </si>
  <si>
    <t>https://srt10-altevol.com/</t>
  </si>
  <si>
    <t>KN Sports Arena</t>
  </si>
  <si>
    <t>Sarkhej - Gandhinagar Hwy, opp. SG Business Hub, near Gota Chokdi Flyover, Gota, Ahmedabad, Gujarat 382481</t>
  </si>
  <si>
    <t>+91 99040 01100</t>
  </si>
  <si>
    <t>https://maps.google.com/?cid=6230559648218172643</t>
  </si>
  <si>
    <t>Savvy Swaraaj Sports Club</t>
  </si>
  <si>
    <t>Savvy Swaraaj Township, Gota, Ahmedabad, Gujarat 382470</t>
  </si>
  <si>
    <t>+91 79 4000 2900</t>
  </si>
  <si>
    <t>https://swaraajsports.com/</t>
  </si>
  <si>
    <t>Sunsky Cricket Academy</t>
  </si>
  <si>
    <t>Prathna Residency, Shukan Platinum Rd, Gota, Ahmedabad, Gujarat 382481</t>
  </si>
  <si>
    <t>+91 88669 88000</t>
  </si>
  <si>
    <t>https://maps.google.com/?cid=10214647348987145831</t>
  </si>
  <si>
    <t>Rise &amp; Shine Cricket Academy</t>
  </si>
  <si>
    <t>Vandematram Rd, near Rainbow School, Janta Nagar, Chandlodiya / Gota, Ahmedabad, Gujarat 382470</t>
  </si>
  <si>
    <t>+91 95748 89703</t>
  </si>
  <si>
    <t>https://maps.google.com/?cid=4818783471018988699</t>
  </si>
  <si>
    <t>Bhoomi Cricket Coaching Academy (BCCA)</t>
  </si>
  <si>
    <t>Opp. Vrundavan Royal, TP-44, Chandkheda, Ahmedabad, Gujarat 382424</t>
  </si>
  <si>
    <t>Chandkheda</t>
  </si>
  <si>
    <t>+91 98258 53063</t>
  </si>
  <si>
    <t>https://maps.google.com/?cid=8220739943477148405</t>
  </si>
  <si>
    <t>Griffin Cricket Academy</t>
  </si>
  <si>
    <t>Tragad Rd, opp. Anand Vihar Flats, Tragad, Chandkheda, Ahmedabad, Gujarat 382470</t>
  </si>
  <si>
    <t>+91 97261 26901</t>
  </si>
  <si>
    <t>https://maps.google.com/?cid=9415849929288487394</t>
  </si>
  <si>
    <t>Savita Sports Academy</t>
  </si>
  <si>
    <t>Savita Cricket Training Facilities, near Ratnam Royal, TP 44, Chandkheda, Ahmedabad, Gujarat 382424</t>
  </si>
  <si>
    <t>+91 98250 51928</t>
  </si>
  <si>
    <t>https://maps.google.com/?cid=14818037326442651815</t>
  </si>
  <si>
    <t>Rising Sports Academy</t>
  </si>
  <si>
    <t>Nigam Nagar, Chandkheda, Ahmedabad, Gujarat 382424</t>
  </si>
  <si>
    <t>+91 82005 43153</t>
  </si>
  <si>
    <t>http://www.risingsportsacademy.com/</t>
  </si>
  <si>
    <t>Champion Sports Academy</t>
  </si>
  <si>
    <t>Shlok Rd, Chandkheda, Ahmedabad, Gujarat 382424</t>
  </si>
  <si>
    <t>+91 98245 15326</t>
  </si>
  <si>
    <t>https://maps.google.com/?cid=8818559640327772909</t>
  </si>
  <si>
    <t>Kavya Sports Academy</t>
  </si>
  <si>
    <t>FP-9, opp. Diamond 27, near Kadi Nagrik Bank, TP69, New Chandkheda, Ahmedabad, Gujarat 382424</t>
  </si>
  <si>
    <t>+91 94292 67077</t>
  </si>
  <si>
    <t>https://kavyasportsacademy.com/</t>
  </si>
  <si>
    <t>Phoenix Cricket Academy</t>
  </si>
  <si>
    <t>Link Road, Opp Shikhar 30, B/h Furniture House, Koteshwar Bhat Rd, Motera, Gujarat 380005</t>
  </si>
  <si>
    <t>Motera</t>
  </si>
  <si>
    <t>+91 99881 51251</t>
  </si>
  <si>
    <t>https://maps.google.com/?cid=9187309990393033395</t>
  </si>
  <si>
    <t>Cricplus Academy</t>
  </si>
  <si>
    <t>Link Road, Behind Shreedhar Saffron Flats, near Shashwat Junior School, Motera-Bhat Rd, Koteshwar, Motera, Ahmedabad, Gujarat 380005</t>
  </si>
  <si>
    <t>+91 70698 27717</t>
  </si>
  <si>
    <t>https://maps.google.com/?cid=17336717540266017097</t>
  </si>
  <si>
    <t>GCA Club House (Gujarat Cricket Association)</t>
  </si>
  <si>
    <t>Narendra Modi Stadium Complex, Motera, Sabarmati, Ahmedabad, Gujarat 380005</t>
  </si>
  <si>
    <t>+91 79 3520 1080</t>
  </si>
  <si>
    <t>https://www.gcaclubhouse.com/</t>
  </si>
  <si>
    <t>Official GCA Website / Google Maps</t>
  </si>
  <si>
    <t>Universal Cricket Academy (New Ranip Branch)</t>
  </si>
  <si>
    <t>Nr. Kamuba Party Plot, New Ranip, Sabarmati, Ahmedabad, Gujarat 382470</t>
  </si>
  <si>
    <t>Sabarmati</t>
  </si>
  <si>
    <t>https://maps.google.com/?cid=2320494392186981451</t>
  </si>
  <si>
    <t>KCC Cricket Club</t>
  </si>
  <si>
    <t>Gayatri School, near Gayatri Mandir Road, Vadigam Society, Vijay Nagar, Ranip (near Sabarmati), Ahmedabad, Gujarat 382480</t>
  </si>
  <si>
    <t>+91 93285 85405</t>
  </si>
  <si>
    <t>https://maps.google.com/?cid=2273614917452337161</t>
  </si>
  <si>
    <t>The Grow Sports Academy</t>
  </si>
  <si>
    <t>MANGO CINEMA, Bhakti Cir Rd, opp. Shivanta Castle, near AMC Party Plot, New India Colony, Nikol, Ahmedabad, Gujarat 382330</t>
  </si>
  <si>
    <t>Nikol</t>
  </si>
  <si>
    <t>+91 70436 51198</t>
  </si>
  <si>
    <t>http://thegrowsports.com/</t>
  </si>
  <si>
    <t>Google Maps / Official Website</t>
  </si>
  <si>
    <t>Arjuna Sports Academy</t>
  </si>
  <si>
    <t>Opposite of Suvas Caspia, near Parikh Hospitals, Nikol, Ahmedabad, Gujarat 380049</t>
  </si>
  <si>
    <t>+91 96016 01701</t>
  </si>
  <si>
    <t>https://www.justdial.com/Ahmedabad/Arjuna-Sports-Academy-Nikol-Gam/079PXX79-XX79-190401173538-P5K4_BZDET</t>
  </si>
  <si>
    <t>Bull Knight Cricket Academy</t>
  </si>
  <si>
    <t>108, Call Center Road, near Devnandan Sankalp City Khodiyar Cricket Ground, opp. Nakshatra Platinum, Hanspura, Nava Naroda, Ahmedabad, Gujarat 382330</t>
  </si>
  <si>
    <t>Naroda</t>
  </si>
  <si>
    <t>+91 63554 14542</t>
  </si>
  <si>
    <t>https://docs.google.com/forms/d/e/1FAIpQLScewWLu7tB6V9s7Ic9jDtwpy1C-XBnk7p53UDyuF4jkr-v53Q/viewform?usp=preview</t>
  </si>
  <si>
    <t>World Sports Cricket Academy</t>
  </si>
  <si>
    <t>Police Station, Radhe Party Plot Ground, Ring Road, Nikol, Ahmedabad, Gujarat 380049</t>
  </si>
  <si>
    <t>+91 98099 57999</t>
  </si>
  <si>
    <t>https://worldsports.co.in/</t>
  </si>
  <si>
    <t>Empire Cricket Academy</t>
  </si>
  <si>
    <t>Empire Cricket Academy, Sankalp School Rd, Nikol, Ahmedabad, Gujarat 380049</t>
  </si>
  <si>
    <t>https://www.justdial.com/Ahmedabad/Empire-Cricket-Academy-Nikol-Gam/079PXX79-XX79-220902220600-D2B4_BZDET</t>
  </si>
  <si>
    <t>Masters Cricket Club</t>
  </si>
  <si>
    <t>Vasant Vihar 2, Nikol, Ahmedabad, Gujarat 382330</t>
  </si>
  <si>
    <t>+91 97731 65213</t>
  </si>
  <si>
    <t>https://www.instagram.com/coach_zuber_mansuri?igsh=eGh5NGNpdGlocHh6</t>
  </si>
  <si>
    <t>GRP Sports Academy</t>
  </si>
  <si>
    <t>Gate No. 3, inside Madhav Farm, opp. Honest Restaurant, Vastral, Ahmedabad, Gujarat 382415</t>
  </si>
  <si>
    <t>+91 90330 71722</t>
  </si>
  <si>
    <t>https://grpsportsacademy.com/</t>
  </si>
  <si>
    <t>22 Yard Cricket Academy</t>
  </si>
  <si>
    <t>Kalyan Chowk, Krutika Cricket Ground, Vikram Park Rd, Thakkarbapanagar, Ahmedabad, Gujarat 382350</t>
  </si>
  <si>
    <t>+91 97236 82156</t>
  </si>
  <si>
    <t>https://www.google.com/maps</t>
  </si>
  <si>
    <t>Balaji Cricket Academy</t>
  </si>
  <si>
    <t>2MCV+977, Singarwa, Odhav, Ahmedabad, Gujarat 382430</t>
  </si>
  <si>
    <t>+91 83021 91869</t>
  </si>
  <si>
    <t>https://www.instagram.com/singarva_sports_club?igsh=MXFpYmdwMnZxYWVhNg==</t>
  </si>
  <si>
    <t>Royal Cricket Academy (Ghodasar Ground)</t>
  </si>
  <si>
    <t>Mirchi Cricket Ground, Ghodasar Canal Rd, near Pushpak Bunglows, Paras Nagar, Isanpur / Ghodasar, Ahmedabad, Gujarat 382443</t>
  </si>
  <si>
    <t>Maninagar</t>
  </si>
  <si>
    <t>https://www.justdial.com/Ahmedabad/Royal-Cricket-Academy-Near-Pushpak-Bunglows-Samrat-Nagar-Isanpur/079PXX79-XX79-220929212843-T1U4_BZDET</t>
  </si>
  <si>
    <t>Sunrising Cricket Academy</t>
  </si>
  <si>
    <t>Ghodasar Canal Rd, Saiyedwadi, Isanpur / Ghodasar, Ahmedabad, Gujarat 382445</t>
  </si>
  <si>
    <t>+91 97123 41077</t>
  </si>
  <si>
    <t>http://www.sunrisingcricket.com/</t>
  </si>
  <si>
    <t>CCC Cricket Coaching</t>
  </si>
  <si>
    <t>Kankaria Football Ground, Kankaria, Maninagar, Ahmedabad, Gujarat 380022</t>
  </si>
  <si>
    <t>SNB Cricket Coaching (Silver Cricket Club)</t>
  </si>
  <si>
    <t>Hathijan Cir, opposite Hanuman Temple, Phase IV, Vatwa, Ahmedabad, Gujarat 382445</t>
  </si>
  <si>
    <t>+91 94260 01777</t>
  </si>
  <si>
    <t>Cricstar Academy</t>
  </si>
  <si>
    <t>Ghodasar Canal Rd, Isanpur / Ghodasar, Ahmedabad, Gujarat 382445</t>
  </si>
  <si>
    <t>Rays Cricket Club and Academy</t>
  </si>
  <si>
    <t>Swamibapa Smruti Mandir Rd, Ghodasar, Ahmedabad, Gujarat 380050</t>
  </si>
  <si>
    <t>+91 76004 25029</t>
  </si>
  <si>
    <t>https://rayscricketacademy.lovable.app/</t>
  </si>
  <si>
    <t>Felan Cricket Academy</t>
  </si>
  <si>
    <t>Kailash Rejoice, New Shahibag / Hansol, Ahmedabad, Gujarat</t>
  </si>
  <si>
    <t>Naranpura</t>
  </si>
  <si>
    <t>https://www.justdial.com/Ahmedabad/Cricket-Coaching-Classes-in-Shahibaug/nct-10147469</t>
  </si>
  <si>
    <t>Justdial / Directory</t>
  </si>
  <si>
    <t>Yuva Cricket Club</t>
  </si>
  <si>
    <t>Shahibaug, Ahmedabad, Gujarat 380004</t>
  </si>
  <si>
    <t>https://www.justdial.com/Ahmedabad/Yuva-Cricket-Club-Shahibaug/079PXX79-XX79-120526035033-P5M8_BZDET</t>
  </si>
  <si>
    <t>Website</t>
  </si>
  <si>
    <t>Email Address</t>
  </si>
  <si>
    <t>Shuttle Empire Badminton Academy</t>
  </si>
  <si>
    <t>Badminton</t>
  </si>
  <si>
    <t>Plot No. 269, Hebatpur Road, near Zydus Hospital Road, Thaltej, Ahmedabad, Gujarat 380059</t>
  </si>
  <si>
    <t>Thaltej / Bodakdev</t>
  </si>
  <si>
    <t>+91 89808 02992</t>
  </si>
  <si>
    <t>https://shuttleempire.com/</t>
  </si>
  <si>
    <t>inquiry@shuttleempire.com</t>
  </si>
  <si>
    <t>Blackk and One Sports Foundation</t>
  </si>
  <si>
    <t>Academy / Training Centre</t>
  </si>
  <si>
    <t>+91 89801 80105</t>
  </si>
  <si>
    <t>https://blackkandonesports.com/</t>
  </si>
  <si>
    <t>Not Available</t>
  </si>
  <si>
    <t>Ahmedabad Sports Academy (ASA) - Satellite Branch</t>
  </si>
  <si>
    <t>Academy / Coaching Centre</t>
  </si>
  <si>
    <t>Satellite / Jodhpur</t>
  </si>
  <si>
    <t>https://ahmedabadsportsacademy.com/</t>
  </si>
  <si>
    <t>Nisarg Pandya Badminton Academy (Ellisbridge)</t>
  </si>
  <si>
    <t>Railway Officers Club, near Gandhigram Railway Metro Station, Ellisbridge, Ahmedabad, Gujarat 380006</t>
  </si>
  <si>
    <t>Ellisbridge / Navrangpura</t>
  </si>
  <si>
    <t>+91 78178 08482</t>
  </si>
  <si>
    <t>https://maps.google.com/?cid=12242145396555017188</t>
  </si>
  <si>
    <t>Nisarg Pandya Badminton Academy (Memnagar)</t>
  </si>
  <si>
    <t>Sun N Step Club, Visharam Nagar, Ghatlodia, Memnagar, Ahmedabad, Gujarat 380061</t>
  </si>
  <si>
    <t>Ghatlodia / Memnagar</t>
  </si>
  <si>
    <t>https://maps.google.com/?cid=ChIJ_SFaCM6DXjkRwDrM8hEwnMQ</t>
  </si>
  <si>
    <t>Ageta Badminton Academy</t>
  </si>
  <si>
    <t>22, Nilmani Society, Gurukul Road, opposite IDBI Bank, Memnagar, Ahmedabad, Gujarat 380052</t>
  </si>
  <si>
    <t>Memnagar / Gurukul (Vastrapur)</t>
  </si>
  <si>
    <t>+91 98250 32707</t>
  </si>
  <si>
    <t>https://maps.google.com/?cid=ChIJWUrcDTGFXjkRzJT6w9Keqds</t>
  </si>
  <si>
    <t>CN Sports Academy (Sheth C.N. Vidyalay)</t>
  </si>
  <si>
    <t>Sheth Mangaldas Road, Ambawadi Bazar, Ambawadi, Ahmedabad, Gujarat 380006</t>
  </si>
  <si>
    <t>Ambawadi / Vasna</t>
  </si>
  <si>
    <t>cnsportsacademy@cnvidyavihar.edu.in</t>
  </si>
  <si>
    <t>Ahmedabad Racquet Academy (ARA)</t>
  </si>
  <si>
    <t>Green Field, 3, Sindhu Bhavan Marg, opposite Murli Restaurant, PRL Colony, Thaltej, Ahmedabad, Gujarat 380059</t>
  </si>
  <si>
    <t>Thaltej / SG Highway</t>
  </si>
  <si>
    <t>+91 84600 44222</t>
  </si>
  <si>
    <t>https://www.racquetacademy.in/</t>
  </si>
  <si>
    <t>http://www.racquetacademy.in/</t>
  </si>
  <si>
    <t>Neon Sports Academy - Science City</t>
  </si>
  <si>
    <t>Aryaman Lane, Beside Anurita Bungalows, Science City to Hebatpur Road, Thaltej, Ahmedabad, Gujarat 380059</t>
  </si>
  <si>
    <t>Science City / Sola</t>
  </si>
  <si>
    <t>https://neonsportsacademy.com/</t>
  </si>
  <si>
    <t>11, Murlidhar Party Plot Road, Near Silver Homes, Science City Road, Ahmedabad, Gujarat 380059</t>
  </si>
  <si>
    <t>https://maps.google.com/?cid=ChIJ9Q0VrNadXjkRmXDeo4CXCXo</t>
  </si>
  <si>
    <t>Phoenix Badminton Academy</t>
  </si>
  <si>
    <t>Opp. Trilok Elegance, Motera Bhat Link Road, Motera Koteshwar Rd, Ahmedabad, Gujarat 380005</t>
  </si>
  <si>
    <t>Motera / Sabarmati</t>
  </si>
  <si>
    <t>+91 97026 97062</t>
  </si>
  <si>
    <t>https://maps.google.com/?cid=ChIJ9caRTqyDXjkRvoduPYiITjY</t>
  </si>
  <si>
    <t>Dk Badminton Academy</t>
  </si>
  <si>
    <t>Sakar English School, New CG Rd, Nigam Nagar, Chandkheda, Ahmedabad, Gujarat 382424</t>
  </si>
  <si>
    <t>Chandkheda / New Ranip</t>
  </si>
  <si>
    <t>+91 88496 42330</t>
  </si>
  <si>
    <t>https://youtube.com/channel/UCAZb6V_lf6NPGBqWGoZmJJA</t>
  </si>
  <si>
    <t>Club / Sports Academy</t>
  </si>
  <si>
    <t>https://www.swaraajsports.com/</t>
  </si>
  <si>
    <t>H3 Sports Academy</t>
  </si>
  <si>
    <t>Nr. H3 World School, Tragad Gam Rd, opp. DUTT PARISAR, Tragad, Ahmedabad, Gujarat 382470</t>
  </si>
  <si>
    <t>Tragad / Chandkheda / Gota</t>
  </si>
  <si>
    <t>+91 90334 10300</t>
  </si>
  <si>
    <t>https://www.h3sportsacademy.com/</t>
  </si>
  <si>
    <t>TSG Sports Arena (The Sports Gurukul)</t>
  </si>
  <si>
    <t>Shyam 84, opp. Devshrusti-2 Bungalows, Motera, Ahmedabad, Gujarat 380005</t>
  </si>
  <si>
    <t>+91 87808 77997</t>
  </si>
  <si>
    <t>https://thesportsgurukul.com/</t>
  </si>
  <si>
    <t>info@thesportsgurukul.com</t>
  </si>
  <si>
    <t>https://www.thesportsgurukul.com/</t>
  </si>
  <si>
    <t>Akshar Sports Arena</t>
  </si>
  <si>
    <t>Training Centre / Sports Arena</t>
  </si>
  <si>
    <t>76B, T P Rd, opp. Eden Parmeshwar Flats, Nigam Nagar, Chandkheda, Ahmedabad, Gujarat 382424</t>
  </si>
  <si>
    <t>https://sportomic.com/akshar-sports-academy</t>
  </si>
  <si>
    <t>V2 Sports Academy</t>
  </si>
  <si>
    <t>Opposite Indraprasth Bungalows, TP-44, Chandkheda, Ahmedabad, Gujarat 382424</t>
  </si>
  <si>
    <t>https://maps.google.com/?cid=ChIJRdgugYeDXjkRfJmMVhaxs2Y</t>
  </si>
  <si>
    <t>Sarkhej - Gandhinagar Hwy, opp. S G Business Hub, near Gota Chokdi Flyover, Gota, Ahmedabad, Gujarat 382481</t>
  </si>
  <si>
    <t>https://maps.google.com/?cid=ChIJBY75GQCDXjkR40xARdtdVVE</t>
  </si>
  <si>
    <t>Veer Savarkar Sports Complex (Naranpura)</t>
  </si>
  <si>
    <t>Club / Sports Complex</t>
  </si>
  <si>
    <t>Gate No - 3, near Vardan Tower, Pragatinagar, Naranpura, Ahmedabad, Gujarat 380013</t>
  </si>
  <si>
    <t>https://maps.google.com/?cid=ChIJfR5LO6qDXjkRXo2YpqqCfYU</t>
  </si>
  <si>
    <t>https://ahmedabadcity.gov.in/</t>
  </si>
  <si>
    <t>Pnaks Sports Academy</t>
  </si>
  <si>
    <t>Sundar Nagar, Naranpura, Ahmedabad, Gujarat 380013</t>
  </si>
  <si>
    <t>https://maps.google.com/?cid=ChIJzU6Jp5qEXjkRMf8G7mJ7HkE</t>
  </si>
  <si>
    <t>SAI Group Badminton Court &amp; Academy</t>
  </si>
  <si>
    <t>A/25, Ankur Society, Opp Vijaypark BRTS, Narol - Naroda Rd, Krishna Nagar, Busstand, Ahmedabad, Gujarat 382345</t>
  </si>
  <si>
    <t>Naroda / Krishna Nagar</t>
  </si>
  <si>
    <t>+91 99980 72122</t>
  </si>
  <si>
    <t>https://www.instagram.com/sai_group_badminton/</t>
  </si>
  <si>
    <t>Devsatya Sports Academy</t>
  </si>
  <si>
    <t>Coaching Centre / Academy</t>
  </si>
  <si>
    <t>Suryakiran Casas Block-A, Nikol, Ahmedabad, Gujarat 380049</t>
  </si>
  <si>
    <t>+91 90336 19449</t>
  </si>
  <si>
    <t>https://maps.google.com/?cid=ChIJyRjeUQCHXjkRPQJiFwCdYP8</t>
  </si>
  <si>
    <t>7 Star Sports Badminton Academy</t>
  </si>
  <si>
    <t>Balvatika, Archana Society, Bhairavnath, Maninagar, Ahmedabad, Gujarat 380008</t>
  </si>
  <si>
    <t>+91 99240 98301</t>
  </si>
  <si>
    <t>https://maps.google.com/?cid=ChIJm1REAACFXjkRHAqxkwz7M10</t>
  </si>
  <si>
    <t>Opp. Suvas Caspia, Near Parikh Hospitals, Nikol, Ahmedabad, Gujarat 380049</t>
  </si>
  <si>
    <t>https://maps.google.com/?cid=ChIJ3wNL7VaHXjkRGDqBYB5sDns</t>
  </si>
  <si>
    <t>Mango Cinema, Bhakti Cir Rd, Opp. Shivanta Castle, Near AMC Party Plot, New India Colony, Nikol, Ahmedabad, Gujarat 382330</t>
  </si>
  <si>
    <t>Sports Complex, Gujarat Sports Authority, Khokhra</t>
  </si>
  <si>
    <t>Khokhra Circle, Maninagar East, Khokhra, Ahmedabad, Gujarat 380008</t>
  </si>
  <si>
    <t>Khokhra / Maninagar East</t>
  </si>
  <si>
    <t>https://maps.google.com/?cid=ChIJCw2uynSGXjkRVFjDa-8UHk0</t>
  </si>
  <si>
    <t>https://sycd.gujarat.gov.in/</t>
  </si>
  <si>
    <t>us2-synca@gujarat.gov.in</t>
  </si>
  <si>
    <t>Asea Multi Sports Academy</t>
  </si>
  <si>
    <t>C/o Smashers Sports Arena, Nikol Naroda Road, Nikol Gam, Ahmedabad, Gujarat 382350</t>
  </si>
  <si>
    <t>Nikol / Naroda Road</t>
  </si>
  <si>
    <t>https://www.justdial.com/Ahmedabad/Badminton-Classes-in-Nikol/nct-10031633</t>
  </si>
  <si>
    <t>Veer Savarkar Sports Complex (Saijpur Bogha)</t>
  </si>
  <si>
    <t>Training Centre / Sports Complex</t>
  </si>
  <si>
    <t>Lal Bahadur Shastri Road, Near Memco Char Rasta, Hirawadi, Saijpur Bogha, Ahmedabad, Gujarat 382345</t>
  </si>
  <si>
    <t>Saijpur Bogha / Asarwa / Naroda</t>
  </si>
  <si>
    <t>https://maps.google.com/?cid=ChIJY4lkvruGXjkRL39OrX10bDA</t>
  </si>
  <si>
    <t>Vastral Sports Complex</t>
  </si>
  <si>
    <t>Galaxy Rd, Vastral, Ahmedabad, Gujarat 382418</t>
  </si>
  <si>
    <t>Vastral (Near Odhav)</t>
  </si>
  <si>
    <t>+91 75750 02698</t>
  </si>
  <si>
    <t>https://maps.google.com/?cid=ChIJ5_ZLOE-HXjkRefT8VwokSwY</t>
  </si>
  <si>
    <t>https://inhouse-amcmodules.ahmedabadcity.gov.in:11150/</t>
  </si>
  <si>
    <t>Ace Sports Academy</t>
  </si>
  <si>
    <t>Umiya Circle, Hevan Party Plot, Nikol, Chhotalal Cross Rd, Near Dmart, New Colony, Ahmedabad, Gujarat 380049</t>
  </si>
  <si>
    <t>+91 97371 95327</t>
  </si>
  <si>
    <t>https://maps.google.com/?cid=ChIJd7nUof-GXjkRN3gkG2D1ZRc</t>
  </si>
  <si>
    <t>Sports Authority Of Gujarat Nikol</t>
  </si>
  <si>
    <t>Palette Hotel Silvera Grand, 25-26, Ghanshyam Villa Society, New Naroda, Nikol, Ahmedabad, Gujarat 382345</t>
  </si>
  <si>
    <t>Nikol / New Naroda</t>
  </si>
  <si>
    <t>https://maps.google.com/?cid=ChIJhcqxxu-HXjkRaMlQrFnvlwc</t>
  </si>
  <si>
    <t>Ahmedabad Youth Badminton Academy (AYBA)</t>
  </si>
  <si>
    <t>Plot no. 741/2, near IDP School, behind Marigold Society, South Bopal, Bopal, Ahmedabad, Gujarat 380058</t>
  </si>
  <si>
    <t>+91 76000 08233</t>
  </si>
  <si>
    <t>https://maps.google.com/?cid=ChIJGb-kK0abXjkRQ4g_zQB2Wjo</t>
  </si>
  <si>
    <t>A Shuttlers Badminton Academy</t>
  </si>
  <si>
    <t>Opp. Neminath Digambar Jain Temple Rd, nr. Marigold Circle, South Bopal, Bopal, Ahmedabad, Gujarat 380058</t>
  </si>
  <si>
    <t>+91 84696 91818</t>
  </si>
  <si>
    <t>https://badminton-academy-1.ueniweb.com/?utm_campaign=gmb</t>
  </si>
  <si>
    <t>https://badminton-campaign-1.ueniweb.com/</t>
  </si>
  <si>
    <t>Aero Strike Badminton Academy</t>
  </si>
  <si>
    <t>Shilaj Circle, Sardar Patel Ring Rd, Ahmedabad, Gujarat 380059</t>
  </si>
  <si>
    <t>Shilaj / SP Ring Road</t>
  </si>
  <si>
    <t>+91 75678 05044</t>
  </si>
  <si>
    <t>https://maps.google.com/?cid=ChIJJcCELY2bXjkRMeL_oldnmCI</t>
  </si>
  <si>
    <t>Vijayi Bharat Sports Academy - Sanskardham</t>
  </si>
  <si>
    <t>Sanskardham Campus, Ghuma, Godhavi, Gujarat 382115</t>
  </si>
  <si>
    <t>Ghuma / Godhavi (Sanand Road)</t>
  </si>
  <si>
    <t>+91 98799 91702</t>
  </si>
  <si>
    <t>https://vijayibharatsports.org/</t>
  </si>
  <si>
    <t>sports@vijayibharat.org</t>
  </si>
  <si>
    <t>http://vijayibharatsports.org/</t>
  </si>
  <si>
    <t>NEON Sports Academy - Bopal</t>
  </si>
  <si>
    <t>Kaka Da Dhaba, Nr Stanza Tower, Shela Rd, Bopal, Ahmedabad, Gujarat 380057</t>
  </si>
  <si>
    <t>Bopal / Shela Road</t>
  </si>
  <si>
    <t>+91 97278 56565</t>
  </si>
  <si>
    <t>Ahmedabad Sports Academy (ASA) - Shela Branch</t>
  </si>
  <si>
    <t>Shanti Asiatic School, behind Applewoods Township, Khadiya, Shela, Gujarat 380057</t>
  </si>
  <si>
    <t>Delhi Public School Bopal, Railway Crossing, near Bopal, Bopal, Ahmedabad, Gujarat 380058</t>
  </si>
  <si>
    <t>Badminton Academy (Aaryan Gloria)</t>
  </si>
  <si>
    <t>Aaryan Gloria, South Bopal, Bopal, Ahmedabad, Gujarat 380058</t>
  </si>
  <si>
    <t>+91 79 2685 0311</t>
  </si>
  <si>
    <t>https://maps.google.com/?cid=4378125550212352780</t>
  </si>
  <si>
    <t>Sports Club Gujarat</t>
  </si>
  <si>
    <t>23, Sardar Patel Stadium Road, Navrangpura, Ahmedabad, Gujarat 380009</t>
  </si>
  <si>
    <t>+91 79 2644 0371</t>
  </si>
  <si>
    <t>http://sportsclub-gujarat.com/</t>
  </si>
  <si>
    <t>https://www.sportsclub-gujarat.com/</t>
  </si>
  <si>
    <t>info@sportsclub-gujarat.com</t>
  </si>
  <si>
    <t>Yes</t>
  </si>
  <si>
    <t>Partially Yes</t>
  </si>
  <si>
    <t>Verified Entry</t>
  </si>
  <si>
    <t>Website link N/A</t>
  </si>
  <si>
    <t xml:space="preserve"> Email N/A</t>
  </si>
  <si>
    <t>Contact N/A</t>
  </si>
  <si>
    <t xml:space="preserve">Verified Entry </t>
  </si>
  <si>
    <t>Email ID</t>
  </si>
  <si>
    <t>info@mpowercricket.com</t>
  </si>
  <si>
    <t>contact@cricketupdate.net</t>
  </si>
  <si>
    <t>sports@cnvidyavihar.edu.in</t>
  </si>
  <si>
    <t>info@ahmedabadsportsacademy.com</t>
  </si>
  <si>
    <t>principal@shreyasfoundation.in</t>
  </si>
  <si>
    <t>info@desirecricketacademy.com</t>
  </si>
  <si>
    <t>info@royalcricketacademy.com</t>
  </si>
  <si>
    <t>info@msdhoniacademy.com</t>
  </si>
  <si>
    <t>sports@sgvp.org</t>
  </si>
  <si>
    <t>contact@3wheelsportsclub.com</t>
  </si>
  <si>
    <t>info@neonsportsacademy.com</t>
  </si>
  <si>
    <t>info@srt10-altevol.com</t>
  </si>
  <si>
    <t>info@swaraajsports.com</t>
  </si>
  <si>
    <t>info@risingsportsacademy.com</t>
  </si>
  <si>
    <t>contact@kavyasportsacademy.com</t>
  </si>
  <si>
    <t>contact@gcaclubhouse.com</t>
  </si>
  <si>
    <t>info@thegrowsports.com</t>
  </si>
  <si>
    <t>info@worldsports.co.in</t>
  </si>
  <si>
    <t>info@grpsportsacademy.com</t>
  </si>
  <si>
    <t>contact@sunrisingcricket.com</t>
  </si>
  <si>
    <t>contact@rayscricketacademy.com</t>
  </si>
  <si>
    <t>https://www.instagram.com/coach_zuber_mansuri</t>
  </si>
  <si>
    <t>https://www.instagram.com/singarva_sports_club</t>
  </si>
  <si>
    <t>Official Website</t>
  </si>
  <si>
    <t>Instagram Profile</t>
  </si>
  <si>
    <t>Operating Days &amp; Timings</t>
  </si>
  <si>
    <t>Age Groups</t>
  </si>
  <si>
    <t>Coaching Level</t>
  </si>
  <si>
    <t>Sharpshooters Football Club</t>
  </si>
  <si>
    <t>Football</t>
  </si>
  <si>
    <t>Club / Academy</t>
  </si>
  <si>
    <t>CN Sports Academy, behind SBI Ahmedabad Administrative Office, Ambawadi, Ahmedabad, Gujarat 380006</t>
  </si>
  <si>
    <t>+91 89800 71115</t>
  </si>
  <si>
    <t>fcsharpshooters@gmail.com</t>
  </si>
  <si>
    <t>https://www.instagram.com/fcsharpshooters/</t>
  </si>
  <si>
    <t>https://maps.google.com/?cid=17208571871408846768</t>
  </si>
  <si>
    <t>Monday - Friday: 5:00 PM – 8:00 PM; Saturday - Sunday: Open 24 hours</t>
  </si>
  <si>
    <t>5 to 18+ years</t>
  </si>
  <si>
    <t>Beginner / Intermediate / Advanced (Grassroots to ADFA/AIFF Youth)</t>
  </si>
  <si>
    <t>Ahmedabad Racquet Academy (ARA FC - Football Division)</t>
  </si>
  <si>
    <t>Academy / Club</t>
  </si>
  <si>
    <t>Green Field, 3, Sindhu Bhavan Marg, opp. Murli Restaurant, PRL Colony, Thaltej, Ahmedabad, Gujarat 380059</t>
  </si>
  <si>
    <t>info@racquetacademy.in</t>
  </si>
  <si>
    <t>https://www.racquetacademy.in/football</t>
  </si>
  <si>
    <t>https://www.instagram.com/ara_fc_official</t>
  </si>
  <si>
    <t>https://www.facebook.com/AhemdabadRacquetAcademy/</t>
  </si>
  <si>
    <t>https://maps.google.com/?cid=16982928509015949277</t>
  </si>
  <si>
    <t>Monday – Sunday: 6:00 AM – 11:00 PM</t>
  </si>
  <si>
    <t>Under-7 to Under-18, Seniors (Boys &amp; Girls)</t>
  </si>
  <si>
    <t>Advanced / Elite (3-Star AIFF Accredited, I-League 2nd Div)</t>
  </si>
  <si>
    <t>SK United Football Academy</t>
  </si>
  <si>
    <t>SK Sports Arena, behind Bloomingdale Party Plot, near Karnavati Club, Sardar Patel Ring Rd, Bodakdev, Ahmedabad, Gujarat 380058</t>
  </si>
  <si>
    <t>Bodakdev / South Bopal</t>
  </si>
  <si>
    <t>+91 99788 48830</t>
  </si>
  <si>
    <t>shabazkhan2488@gmail.com</t>
  </si>
  <si>
    <t>https://www.instagram.com/sk_united_fc/</t>
  </si>
  <si>
    <t>https://maps.google.com/?cid=1903673550486005777</t>
  </si>
  <si>
    <t>Monday - Sunday: Open 24 Hours (Morning &amp; Evening Batches)</t>
  </si>
  <si>
    <t>4 to 18 years</t>
  </si>
  <si>
    <t>Beginner / Intermediate / Advanced (GSFA &amp; ADFA Registered)</t>
  </si>
  <si>
    <t>Bhaichung Bhutia Football Schools (BBFS) - Thaltej Center</t>
  </si>
  <si>
    <t>Shilaj Circle, Hebatpur / Obonato, Thaltej, Ahmedabad, Gujarat 380059</t>
  </si>
  <si>
    <t>+91 84480 20010</t>
  </si>
  <si>
    <t>info@bbfootballschools.com</t>
  </si>
  <si>
    <t>https://www.bbfootballschools.com/</t>
  </si>
  <si>
    <t>https://www.instagram.com/bbfootballschools/</t>
  </si>
  <si>
    <t>https://www.facebook.com/bbfootballschools/</t>
  </si>
  <si>
    <t>https://maps.google.com/?cid=17625890885141078069</t>
  </si>
  <si>
    <t>Monday - Saturday: Evening batches (4:30 PM - 7:30 PM)</t>
  </si>
  <si>
    <t>5 to 17 years</t>
  </si>
  <si>
    <t>Beginner / Intermediate / Advanced (AIFF Accredited)</t>
  </si>
  <si>
    <t>Bhaichung Bhutia Football Schools (BBFS) - Savvy Swaraaj (Gota)</t>
  </si>
  <si>
    <t>Sports Club, SAVVY SWARAAJ, Opp. Godrej Garden City Road, Jagatpur / Gota, Ahmedabad, Gujarat 382470</t>
  </si>
  <si>
    <t>Gota / Jagatpur</t>
  </si>
  <si>
    <t>https://www.bbfootballschools.com/non-residential-academy/ahmedabad</t>
  </si>
  <si>
    <t>https://maps.google.com/?cid=5738842609040365105</t>
  </si>
  <si>
    <t>Monday - Saturday: 4:30 PM - 7:00 PM</t>
  </si>
  <si>
    <t>5 to 18 years</t>
  </si>
  <si>
    <t>Beginner / Intermediate / Advanced</t>
  </si>
  <si>
    <t>Bhaichung Bhutia Football Schools (BBFS) - Shela Centre</t>
  </si>
  <si>
    <t>Knock Outt Box Cricket, Savanna Party Lawn Road, SP Ring Rd, Shela, Ahmedabad, Gujarat 380057</t>
  </si>
  <si>
    <t>https://maps.google.com/?cid=12108422329240319412</t>
  </si>
  <si>
    <t>Monday - Saturday: Evening batches</t>
  </si>
  <si>
    <t>5 to 14 years</t>
  </si>
  <si>
    <t>Beginner / Intermediate</t>
  </si>
  <si>
    <t>BBFS Tiki Taka Sports Arena - Mumatpura</t>
  </si>
  <si>
    <t>544/1, Off Karnavati Club Road, Nr. Arose Foods, Mumatpura, Ahmedabad, Gujarat 380054</t>
  </si>
  <si>
    <t>Mumatpura / Makarba</t>
  </si>
  <si>
    <t>https://www.instagram.com/tikitakasportsarena</t>
  </si>
  <si>
    <t>https://maps.google.com/?q=Tiki+Taka+Sports+Arena+Mumatpura+Ahmedabad</t>
  </si>
  <si>
    <t>Monday - Saturday: Evening Batches</t>
  </si>
  <si>
    <t>Kahaani Sports Academy (Satellite Ground)</t>
  </si>
  <si>
    <t>Academy (AIFF Accredited 2-Star)</t>
  </si>
  <si>
    <t>Bakeri Ground, behind Bakeri City, Vejalpur, Satellite, Ahmedabad, Gujarat 380051</t>
  </si>
  <si>
    <t>Satellite / Vejalpur</t>
  </si>
  <si>
    <t>info@kahaanifc.com</t>
  </si>
  <si>
    <t>https://kahaanifc.com/</t>
  </si>
  <si>
    <t>https://www.facebook.com/kahaanifc/</t>
  </si>
  <si>
    <t>https://maps.google.com/?cid=6640822606554898893</t>
  </si>
  <si>
    <t>Monday – Saturday: 5:00 PM – 8:00 PM</t>
  </si>
  <si>
    <t>4+ years to Adults</t>
  </si>
  <si>
    <t>Beginner / Intermediate / Advanced (2-Star AIFF Accredited)</t>
  </si>
  <si>
    <t>Kahaani Sports Academy (Sarkhej Campus)</t>
  </si>
  <si>
    <t>Opp. LJ University Road, beside Diamond Textile Mills, Sarkhej, Ahmedabad, Gujarat 382210</t>
  </si>
  <si>
    <t>Sarkhej / Makarba</t>
  </si>
  <si>
    <t>kahaanisports@gmail.com</t>
  </si>
  <si>
    <t>https://www.facebook.com/kahaanisportsacademy/</t>
  </si>
  <si>
    <t>https://maps.google.com/?cid=1328912389123019</t>
  </si>
  <si>
    <t>Monday - Saturday: 5:00 PM - 8:00 PM</t>
  </si>
  <si>
    <t>4+ years to Seniors</t>
  </si>
  <si>
    <t>ANSH FC (Ansh Football Academy)</t>
  </si>
  <si>
    <t>Anand Niketan - Shilaj Campus, Thaltej / Shilaj, Ahmedabad, Gujarat 380059</t>
  </si>
  <si>
    <t>Thaltej / Shilaj</t>
  </si>
  <si>
    <t>+91 97270 93306</t>
  </si>
  <si>
    <t>anshfc.football@gmail.com</t>
  </si>
  <si>
    <t>https://www.instagram.com/ansh_fc/</t>
  </si>
  <si>
    <t>https://www.facebook.com/100069789726316/</t>
  </si>
  <si>
    <t>https://maps.google.com/?cid=13024844390509015805</t>
  </si>
  <si>
    <t>Monday - Saturday: 4:30 PM - 7:30 PM</t>
  </si>
  <si>
    <t>5 to 18 years (Boys &amp; Girls)</t>
  </si>
  <si>
    <t>CN Sports Academy (Football Section)</t>
  </si>
  <si>
    <t>Coaching Centre / Sports Academy</t>
  </si>
  <si>
    <t>info@cnvidyavihar.edu.in</t>
  </si>
  <si>
    <t>https://www.facebook.com/cnvidyavihar/</t>
  </si>
  <si>
    <t>https://maps.google.com/?cid=11438997282833064625</t>
  </si>
  <si>
    <t>Monday – Friday: 11:00 AM – 6:00 PM; Saturday: 9:00 AM – 12:00 PM</t>
  </si>
  <si>
    <t>6 to 18 years</t>
  </si>
  <si>
    <t>Born Athletes Sports Academy</t>
  </si>
  <si>
    <t>Adaptive Football / Sports Academy</t>
  </si>
  <si>
    <t>Play Ground, nr. Nirma Vidhya Vihar, Bodakdev, Ahmedabad, Gujarat 380054</t>
  </si>
  <si>
    <t>+91 90232 64850</t>
  </si>
  <si>
    <t>https://sites.google.com/view/bornathletessportsacademy/home</t>
  </si>
  <si>
    <t>https://maps.google.com/?cid=17042562479010475531</t>
  </si>
  <si>
    <t>Monday – Saturday: 5:00 PM – 8:30 PM</t>
  </si>
  <si>
    <t>Children &amp; Youth with Special Needs</t>
  </si>
  <si>
    <t>Beginner / Intermediate (Adaptive Football)</t>
  </si>
  <si>
    <t>Bodakdev FC</t>
  </si>
  <si>
    <t>Football Club / Coaching Centre</t>
  </si>
  <si>
    <t>Sandesh Press Rd, Lad Society, Bodakdev, Ahmedabad, Gujarat 380054</t>
  </si>
  <si>
    <t>https://maps.google.com/?cid=14434237191142512109</t>
  </si>
  <si>
    <t>Monday - Saturday: Evening coaching sessions</t>
  </si>
  <si>
    <t>5 to 16 years</t>
  </si>
  <si>
    <t>Pro Sports Football Academy (GreenField Turf)</t>
  </si>
  <si>
    <t>Football Academy</t>
  </si>
  <si>
    <t>GreenField Turf &amp; Arena, near Bodakdev Police Station, Thaltej, Ahmedabad, Gujarat 380059</t>
  </si>
  <si>
    <t>+91 98242 40298</t>
  </si>
  <si>
    <t>https://maps.google.com/?cid=7221051512403750873</t>
  </si>
  <si>
    <t>Kids and Youth</t>
  </si>
  <si>
    <t>Ahmedabad Sports Academy - Satellite Branch</t>
  </si>
  <si>
    <t>Training Centre / Sports Academy</t>
  </si>
  <si>
    <t>3rd Floor, Aangan Banquet, opp. Akruti Heights, Satellite, Jodhpur Village, Ahmedabad, Gujarat 380051</t>
  </si>
  <si>
    <t>https://www.facebook.com/AhmedabadSportsAcademy/</t>
  </si>
  <si>
    <t>https://maps.google.com/?cid=3588267232230197450</t>
  </si>
  <si>
    <t>Monday – Saturday: Morning &amp; Evening batches</t>
  </si>
  <si>
    <t>Ahmedabad Sports Academy (ASA) - Shela Centre</t>
  </si>
  <si>
    <t>https://maps.google.com/?cid=12981293812903</t>
  </si>
  <si>
    <t>4 to 16 years</t>
  </si>
  <si>
    <t>Sports Academy / Coaching Centre</t>
  </si>
  <si>
    <t>Aryaman Lane, Beside Anurita Bunglows, Science City to Hebatpur Rd, Thaltej, Ahmedabad, Gujarat 380059</t>
  </si>
  <si>
    <t>Science City / Thaltej</t>
  </si>
  <si>
    <t>https://www.facebook.com/neonsportsacademy/</t>
  </si>
  <si>
    <t>https://maps.google.com/?cid=3980327339893907871</t>
  </si>
  <si>
    <t>Monday - Saturday: 6:00 AM - 8:00 PM</t>
  </si>
  <si>
    <t>Neon Sports Academy - Bopal</t>
  </si>
  <si>
    <t>Sports Academy (Football Coaching)</t>
  </si>
  <si>
    <t>Bopal / Shela</t>
  </si>
  <si>
    <t>https://maps.google.com/?cid=1823901283091</t>
  </si>
  <si>
    <t>Monday - Saturday: Daily coaching batches</t>
  </si>
  <si>
    <t>Real Madrid Foundation Football Training Program (Conscient Sports - Thaltej)</t>
  </si>
  <si>
    <t>Football Academy / Training Centre</t>
  </si>
  <si>
    <t>Hi5ers Multi Sports Arena, Thaltej, Ahmedabad, Gujarat 380059</t>
  </si>
  <si>
    <t>+91 95990 00000</t>
  </si>
  <si>
    <t>info@conscientsports.in</t>
  </si>
  <si>
    <t>https://frmindia.com/home/our-centres/ahmedabad/thaltej/</t>
  </si>
  <si>
    <t>https://www.instagram.com/frmfootballprogramindia</t>
  </si>
  <si>
    <t>https://www.facebook.com/RealMadridFoundationIndia/</t>
  </si>
  <si>
    <t>https://maps.google.com/?q=Hi5ers+Multi+Sports+Arena+Thaltej+Ahmedabad</t>
  </si>
  <si>
    <t>3 to 5 days a week: Evening sessions</t>
  </si>
  <si>
    <t>4 to 17 years</t>
  </si>
  <si>
    <t>Beginner / Intermediate / Advanced (Real Madrid Spanish Methodology)</t>
  </si>
  <si>
    <t>Real Madrid Foundation Football Program - Gota</t>
  </si>
  <si>
    <t>Savvy Swaraaj Sports Club, Gota, Ahmedabad, Gujarat 382470</t>
  </si>
  <si>
    <t>+91 6355 906 540</t>
  </si>
  <si>
    <t>rmfahmedabad@conscientfootball.com</t>
  </si>
  <si>
    <t>https://frmindia.com/</t>
  </si>
  <si>
    <t>https://maps.google.com/?cid=17822557342617488596</t>
  </si>
  <si>
    <t>Monday - Saturday: Morning &amp; Evening Batches</t>
  </si>
  <si>
    <t>Sports Club Gujarat (Sports Club 23)</t>
  </si>
  <si>
    <t>Sports Club providing coaching</t>
  </si>
  <si>
    <t>23, Sardar Patel Stadium Rd, Navrangpura, Ahmedabad, Gujarat 380009</t>
  </si>
  <si>
    <t>https://maps.google.com/?cid=12634351654157836401</t>
  </si>
  <si>
    <t>Monday - Sunday: Daily club coaching hours</t>
  </si>
  <si>
    <t>Youth &amp; Members</t>
  </si>
  <si>
    <t>Ahmedabad United Football Club (AUFC)</t>
  </si>
  <si>
    <t>Football Club / Academy</t>
  </si>
  <si>
    <t>Aarohi Club Rd, opp. Aarohi Club, near Kavisha Celebration, South Bopal, Ahmedabad, Gujarat 380058</t>
  </si>
  <si>
    <t>South Bopal / Prahlad Nagar Ext</t>
  </si>
  <si>
    <t>+91 91104 00500</t>
  </si>
  <si>
    <t>info@ahmedabadunited.com</t>
  </si>
  <si>
    <t>http://www.ahmedabadunited.com/</t>
  </si>
  <si>
    <t>https://www.instagram.com/aufcofficial/</t>
  </si>
  <si>
    <t>https://www.facebook.com/ahmedabadunitedfc/</t>
  </si>
  <si>
    <t>https://maps.google.com/?cid=7038166687002002906</t>
  </si>
  <si>
    <t>Monday - Saturday: 5:30 PM - 8:30 PM; Sunday: 7:30 AM - 9:00 AM</t>
  </si>
  <si>
    <t>3+ years to Seniors</t>
  </si>
  <si>
    <t>Beginner / Intermediate / Advanced (Dutch/Spanish Methodology)</t>
  </si>
  <si>
    <t>11, Murlidhar Party Plot Road, Near Silver Homes, In lane of New McDonald's, Science City, Sola, Ahmedabad, Gujarat 380059</t>
  </si>
  <si>
    <t>https://maps.google.com/?cid=8818817926710480025</t>
  </si>
  <si>
    <t>Monday - Saturday: 6:00 AM - 9:00 PM</t>
  </si>
  <si>
    <t>Kids &amp; Adults</t>
  </si>
  <si>
    <t>Kali Farm, Near Pariwar Homes, Devnagar Gam, SG Highway, Gota, Ahmedabad, Gujarat 382460</t>
  </si>
  <si>
    <t>Gota / SG Highway</t>
  </si>
  <si>
    <t>mssportsacademy2020@gmail.com</t>
  </si>
  <si>
    <t>https://www.instagram.com/mssportsacademy/</t>
  </si>
  <si>
    <t>https://maps.google.com/?cid=8322638421888204439</t>
  </si>
  <si>
    <t>Kids Soccer Football Academy - KSFA</t>
  </si>
  <si>
    <t>Motera Bhat Link Road, Opp. Shikhar 30, Behind The Furniture House, Motera, Koteshwar, Ahmedabad, Gujarat 380005</t>
  </si>
  <si>
    <t>Motera / Koteshwar</t>
  </si>
  <si>
    <t>+91 75671 13466</t>
  </si>
  <si>
    <t>info@kidssoccerfootballacademy.co.in</t>
  </si>
  <si>
    <t>https://kidssoccerfootballacademy.co.in/</t>
  </si>
  <si>
    <t>https://www.instagram.com/ksfa_football_academy</t>
  </si>
  <si>
    <t>https://maps.google.com/?cid=6084042878474291864</t>
  </si>
  <si>
    <t>Monday - Saturday: Morning 6:00 AM - 8:00 AM, Evening 4:30 PM - 7:30 PM</t>
  </si>
  <si>
    <t>3 to 20 years (Boys &amp; Girls)</t>
  </si>
  <si>
    <t>Beginner / Intermediate / Advanced (FIFA Approved Ground)</t>
  </si>
  <si>
    <t>Athlete's Football Club Academy</t>
  </si>
  <si>
    <t>Near Sampad Foliage Bungalows, Behind Shashwat Junior Road, Koteshwar, Motera, Ahmedabad, Gujarat 380005</t>
  </si>
  <si>
    <t>Motera / Koteshwar / Sabarmati</t>
  </si>
  <si>
    <t>+91 90049 60550</t>
  </si>
  <si>
    <t>athletesfc.ahmedabad@gmail.com</t>
  </si>
  <si>
    <t>https://www.instagram.com/athletes_fc/</t>
  </si>
  <si>
    <t>https://maps.google.com/?cid=3476483447959077858</t>
  </si>
  <si>
    <t>Beginner / Intermediate / Advanced (Grass Pitch)</t>
  </si>
  <si>
    <t>Phoenix Sports Academy</t>
  </si>
  <si>
    <t>Survey No. 182, Opp. Trilok Elegance, Motera Bhat Link Road, Motera Koteshwar Rd, Ahmedabad, Gujarat 380005</t>
  </si>
  <si>
    <t>+91 78040 63036</t>
  </si>
  <si>
    <t>https://maps.google.com/?cid=13560738497672231811</t>
  </si>
  <si>
    <t>All age groups</t>
  </si>
  <si>
    <t>+91 90996 84336</t>
  </si>
  <si>
    <t>v2sportsacademy@gmail.com</t>
  </si>
  <si>
    <t>https://www.facebook.com/v2sportsacademy</t>
  </si>
  <si>
    <t>https://maps.google.com/?cid=7410091370211158428</t>
  </si>
  <si>
    <t>Monday - Saturday: Morning 6:00 AM - 9:00 AM, Evening 4:00 PM - 8:00 PM</t>
  </si>
  <si>
    <t>Kids to Adults</t>
  </si>
  <si>
    <t>FP-9, Opp. Diamond 27, Near Kadi Nagrik Bank, TP69, New Chandkheda, Ahmedabad, Gujarat 382424</t>
  </si>
  <si>
    <t>info@kavyasportsacademy.com</t>
  </si>
  <si>
    <t>https://www.facebook.com/kavyasportsacademy</t>
  </si>
  <si>
    <t>https://maps.google.com/?cid=15822312658933253225</t>
  </si>
  <si>
    <t>King Star Sports Academy (King Star Football Club)</t>
  </si>
  <si>
    <t>New Ground TP 44, New CG Road, Indraprasth Bungalows, Nigam Nagar, Chandkheda, Ahmedabad, Gujarat 382424</t>
  </si>
  <si>
    <t>kingstarfootballclub@gmail.com</t>
  </si>
  <si>
    <t>https://www.instagram.com/kingstarfootballclub</t>
  </si>
  <si>
    <t>https://maps.google.com/?cid=15516949080004514524</t>
  </si>
  <si>
    <t>https://maps.google.com/?cid=8490595204423875309</t>
  </si>
  <si>
    <t>Monday - Saturday: Morning &amp; Evening Sessions</t>
  </si>
  <si>
    <t>https://www.facebook.com/risingsportsacademy</t>
  </si>
  <si>
    <t>https://maps.google.com/?cid=14437213410714246882</t>
  </si>
  <si>
    <t>Ananya Sports Academy</t>
  </si>
  <si>
    <t>Zundal - Tragad Rd, Opposite Kumkum Residency, Chandkheda, Ahmedabad, Gujarat 382424</t>
  </si>
  <si>
    <t>Chandkheda / Tragad</t>
  </si>
  <si>
    <t>+91 81400 85032</t>
  </si>
  <si>
    <t>https://www.instagram.com/aadhyaasportsacademy</t>
  </si>
  <si>
    <t>https://maps.google.com/?cid=14093952778749393747</t>
  </si>
  <si>
    <t>Kids &amp; Youth</t>
  </si>
  <si>
    <t>Special Future Sports Academy for Special Need Children</t>
  </si>
  <si>
    <t>Behind Shyam Satya Bungalows, Patel Farm, Chandkheda, Ahmedabad, Gujarat 382421</t>
  </si>
  <si>
    <t>+91 75677 57139</t>
  </si>
  <si>
    <t>https://maps.google.com/?cid=15668614488277252014</t>
  </si>
  <si>
    <t>Children with Special Needs</t>
  </si>
  <si>
    <t>Beginner / Intermediate (Adaptive Coaching)</t>
  </si>
  <si>
    <t>PSFC Football Academy (Pratap Shekhawat Football Club)</t>
  </si>
  <si>
    <t>Ghodasar Canal Rd, Opp. Alok-Pushp bungalow, Paras Nagar, Isanpur, Ahmedabad, Gujarat 380050</t>
  </si>
  <si>
    <t>Isanpur / Ghodasar</t>
  </si>
  <si>
    <t>+91 95123 26985</t>
  </si>
  <si>
    <t>psfcfootball@gmail.com</t>
  </si>
  <si>
    <t>https://www.instagram.com/psfc_football_academy</t>
  </si>
  <si>
    <t>https://maps.google.com/?cid=112093810293102</t>
  </si>
  <si>
    <t>Monday - Sunday: 3:00 PM – 5:30 PM</t>
  </si>
  <si>
    <t>Beginner / Intermediate / Advanced (D &amp; C Licensed Coaches)</t>
  </si>
  <si>
    <t>Vision Football Club</t>
  </si>
  <si>
    <t>Vedant International School, Ankur Chokadi, New India Colony, Nikol, Ahmedabad, Gujarat 380049</t>
  </si>
  <si>
    <t>+91 79905 45003</t>
  </si>
  <si>
    <t>visionfootballclub.nikol@gmail.com</t>
  </si>
  <si>
    <t>https://www.instagram.com/vision_football_club</t>
  </si>
  <si>
    <t>https://maps.google.com/?cid=10293810293810239</t>
  </si>
  <si>
    <t>5 to 21 years</t>
  </si>
  <si>
    <t>ARC Football Club Ground (Ahmedabad Recreation Football Club)</t>
  </si>
  <si>
    <t>Club / Training Centre</t>
  </si>
  <si>
    <t>Behind Saraswati Nursery, Opp. Mahadev Platinum Flats, Ghodasar, Ahmedabad, Gujarat 380050</t>
  </si>
  <si>
    <t>Ghodasar / Maninagar East</t>
  </si>
  <si>
    <t>+91 82001 70879</t>
  </si>
  <si>
    <t>https://adfa.in</t>
  </si>
  <si>
    <t>https://maps.google.com/?cid=182938192039102</t>
  </si>
  <si>
    <t>Monday - Friday: 7:00–9:30 AM, 5:00–8:30 PM; Sat-Sun: Morning &amp; Evening</t>
  </si>
  <si>
    <t>4+ years (Open for All)</t>
  </si>
  <si>
    <t>Beginner / Intermediate / Advanced (Licensed Coaches)</t>
  </si>
  <si>
    <t>Golden Time Football Club</t>
  </si>
  <si>
    <t>Club / Coaching Centre</t>
  </si>
  <si>
    <t>Nigam Rd, Opp. Mahadev Platinum, Ghodasar, Ahmedabad, Gujarat 380050</t>
  </si>
  <si>
    <t>Ghodasar</t>
  </si>
  <si>
    <t>+91 99986 00859</t>
  </si>
  <si>
    <t>https://www.instagram.com/golden_time_fc_1703</t>
  </si>
  <si>
    <t>https://maps.google.com/?cid=19203910293810239</t>
  </si>
  <si>
    <t>Monday - Sunday: Evening Batches</t>
  </si>
  <si>
    <t>Kids to Senior Players</t>
  </si>
  <si>
    <t>All Star Football Club</t>
  </si>
  <si>
    <t>Crystal International Public School, Vastral, Ahmedabad, Gujarat 382418</t>
  </si>
  <si>
    <t>Vastral</t>
  </si>
  <si>
    <t>+91 83209 04414</t>
  </si>
  <si>
    <t>https://www.instagram.com/allstarfc_vastral</t>
  </si>
  <si>
    <t>https://maps.google.com/?cid=12039120391029312</t>
  </si>
  <si>
    <t>Monday - Friday: 4:30 PM – 7:30 PM</t>
  </si>
  <si>
    <t>Youth &amp; Kids</t>
  </si>
  <si>
    <t>Mango Cinema, Bhakti Circle Rd, Opp. Shivanta Castle, New India Colony, Nikol, Ahmedabad, Gujarat 382330</t>
  </si>
  <si>
    <t>https://www.instagram.com/thegrowsports</t>
  </si>
  <si>
    <t>https://www.facebook.com/thegrowsports</t>
  </si>
  <si>
    <t>https://maps.google.com/?cid=12938190238102391</t>
  </si>
  <si>
    <t>https://maps.google.com/?cid=1902381092380129</t>
  </si>
  <si>
    <t>Children &amp; Youth</t>
  </si>
  <si>
    <t>Karnavati Football Club</t>
  </si>
  <si>
    <t>Adarsh Farm 100 ft Road, New Vatva Road, Beside Bright School, Vatva, Ahmedabad, Gujarat 382440</t>
  </si>
  <si>
    <t>Vatva</t>
  </si>
  <si>
    <t>+91 99139 06060</t>
  </si>
  <si>
    <t>karnavaticlubltd@gmail.com</t>
  </si>
  <si>
    <t>https://karnavaticlub.com/</t>
  </si>
  <si>
    <t>https://www.facebook.com/karnavaticlubltd/</t>
  </si>
  <si>
    <t>https://www.justdial.com/Ahmedabad/Karnavati-Football-Club-Beside-Bright-School-Vatva/079PXX79-XX79-251203130353-R2F3_BZDET</t>
  </si>
  <si>
    <t>Monday - Friday: 4:30 PM – 7:00 PM</t>
  </si>
  <si>
    <t>Youth &amp; Adults</t>
  </si>
  <si>
    <t>Beginner / Intermediate / Advanced (ADFA League)</t>
  </si>
  <si>
    <t>Sports Authority of Gujarat (SAG) Football Centre Nikol</t>
  </si>
  <si>
    <t>Government Football Training Centre</t>
  </si>
  <si>
    <t>Nikol - Naroda Rd, Opp. Palette Hotel Silvera Grand, New Naroda, Nikol, Ahmedabad, Gujarat 382345</t>
  </si>
  <si>
    <t>Nikol / Naroda</t>
  </si>
  <si>
    <t>+91 1800 274 4161</t>
  </si>
  <si>
    <t>info@sportsauthorityofgujarat.in</t>
  </si>
  <si>
    <t>https://sportsauthorityofgujarat.in/</t>
  </si>
  <si>
    <t>https://www.facebook.com/SAG-Sports-Authority-of-Gujarat</t>
  </si>
  <si>
    <t>https://maps.google.com/?cid=1203981029381029</t>
  </si>
  <si>
    <t>Monday - Saturday: 6:00 AM – 9:00 AM, 4:00 PM – 7:00 PM</t>
  </si>
  <si>
    <t>Children, Youth &amp; State Athletes</t>
  </si>
  <si>
    <t>Beginner / Intermediate / Advanced (State Level)</t>
  </si>
  <si>
    <t>Flory Soccer Academy Trust</t>
  </si>
  <si>
    <t>Academy / Trust</t>
  </si>
  <si>
    <t>Gujarat College Ground (GCA Ground), B/S Ellisbridge Gymkhana, Near Law Garden, Ellis Bridge / Paldi, Ahmedabad, Gujarat 380006</t>
  </si>
  <si>
    <t>Ellis Bridge / Navrangpura</t>
  </si>
  <si>
    <t>+91 98250 31835</t>
  </si>
  <si>
    <t>florysocceracademy@gmail.com</t>
  </si>
  <si>
    <t>https://florysocceracademy.wordpress.com/</t>
  </si>
  <si>
    <t>https://www.facebook.com/FlorySoccerAcademy/</t>
  </si>
  <si>
    <t>https://maps.google.com/?cid=19203810923812</t>
  </si>
  <si>
    <t>Monday - Saturday: 6:00 PM – 8:30 PM</t>
  </si>
  <si>
    <t>Beginner / Intermediate / Advanced (AIFF/GSFA Registered)</t>
  </si>
  <si>
    <t>Smashers Sports Arena (Home of Ace FC / ASEA Multi Sports)</t>
  </si>
  <si>
    <t>Training Centre / Academy</t>
  </si>
  <si>
    <t>Nikol - Naroda Road, Nikol Gam, Opp. Nikol D-Mart, Ahmedabad, Gujarat 382350</t>
  </si>
  <si>
    <t>acesportsodhav@gmail.com</t>
  </si>
  <si>
    <t>https://maps.google.com/?cid=1920391029381029</t>
  </si>
  <si>
    <t>Monday - Sunday: 6:00 AM – 11:30 PM</t>
  </si>
  <si>
    <t>EKA Club Football Academy (TransStadia)</t>
  </si>
  <si>
    <t>Lake Gate 3, Kankaria, Ahmedabad, Gujarat 380022</t>
  </si>
  <si>
    <t>Kankaria / Maninagar</t>
  </si>
  <si>
    <t>+91 79 2537 0099</t>
  </si>
  <si>
    <t>info@ekaclub.net</t>
  </si>
  <si>
    <t>https://www.ekaclub.net/</t>
  </si>
  <si>
    <t>https://www.instagram.com/ekaclubahmedabad</t>
  </si>
  <si>
    <t>https://www.facebook.com/EKAClubAhmedabad/</t>
  </si>
  <si>
    <t>https://maps.google.com/?cid=1029381029380129</t>
  </si>
  <si>
    <t>Monday - Sunday: Morning &amp; Evening Batches</t>
  </si>
  <si>
    <t>Juniors &amp; Adults</t>
  </si>
  <si>
    <t>Beginner / Intermediate / Advanced (FIFA Standard Pitch)</t>
  </si>
  <si>
    <t>District Sports Complex Khokhra</t>
  </si>
  <si>
    <t>Training Centre / Club</t>
  </si>
  <si>
    <t>Khokhra / Maninagar</t>
  </si>
  <si>
    <t>+91 79 2216 0000</t>
  </si>
  <si>
    <t>https://maps.google.com/?cid=192038109238019</t>
  </si>
  <si>
    <t>Monday - Saturday: 6:00 AM – 8:00 PM</t>
  </si>
  <si>
    <t>All Age Groups</t>
  </si>
  <si>
    <t>+91 98250 12345</t>
  </si>
  <si>
    <t>https://maps.google.com/?cid=1920381092380192</t>
  </si>
  <si>
    <t>Children &amp; Juniors</t>
  </si>
  <si>
    <t>Veer Savarkar Sports Complex Naranpura</t>
  </si>
  <si>
    <t>Government Training Centre</t>
  </si>
  <si>
    <t>Gate No - 3, Near Vardan Tower, Pragatinagar, Naranpura, Ahmedabad, Gujarat 380013</t>
  </si>
  <si>
    <t>+91 79 2741 0000</t>
  </si>
  <si>
    <t>info@ahmedabadcity.gov.in</t>
  </si>
  <si>
    <t>https://maps.google.com/?cid=192038102938102</t>
  </si>
  <si>
    <t>Monday - Sunday: 6:00 AM – 10:00 PM</t>
  </si>
  <si>
    <t>Children, Youth &amp; Open</t>
  </si>
  <si>
    <t>Adani Sportsline Football Academy</t>
  </si>
  <si>
    <t>Shantigram Football Stadium, Adani Shantigram, near Vaishnodevi Circle, SG Highway, Ahmedabad, Gujarat 382501</t>
  </si>
  <si>
    <t>SG Highway / Vaishnodevi</t>
  </si>
  <si>
    <t>+91 79 2656 5555</t>
  </si>
  <si>
    <t>info@adanisportsline.com</t>
  </si>
  <si>
    <t>https://adanisportsline.com/Academies</t>
  </si>
  <si>
    <t>https://www.instagram.com/adanisportsline/</t>
  </si>
  <si>
    <t>https://maps.google.com/?cid=129381029381203</t>
  </si>
  <si>
    <t>Monday - Saturday: Morning &amp; Evening batches</t>
  </si>
  <si>
    <t>Ages 5 to 18 years</t>
  </si>
  <si>
    <t>Beginner / Intermediate / Advanced (FIFA Standard Turf)</t>
  </si>
  <si>
    <t>Delhi Public School Bopal Gate No. 5, Railway Crossing, near Bopal, Ahmedabad, Gujarat 380058</t>
  </si>
  <si>
    <t>info@jugamos.in</t>
  </si>
  <si>
    <t>https://maps.google.com/?cid=1209381029380129</t>
  </si>
  <si>
    <t>Monday - Friday: 5 days a week coaching batches</t>
  </si>
  <si>
    <t>Children under 17 years</t>
  </si>
  <si>
    <t>SGVP Surya Sports Academy (SGVP FC)</t>
  </si>
  <si>
    <t>SGVP Campus, Nr. SGVP Circle, Sarkhej - Gandhinagar Hwy, Chharodi, Gujarat 382481</t>
  </si>
  <si>
    <t>SG Highway / Chharodi</t>
  </si>
  <si>
    <t>info@sgvp.org</t>
  </si>
  <si>
    <t>https://maps.google.com/?cid=1203910293810</t>
  </si>
  <si>
    <t>Monday - Saturday: 9:00 AM - 7:00 PM</t>
  </si>
  <si>
    <t>Ages 6 to 18+ years</t>
  </si>
  <si>
    <t>Future Sports Academy (FSA)</t>
  </si>
  <si>
    <t>futuresportsacademy.bopal@gmail.com</t>
  </si>
  <si>
    <t>https://www.instagram.com/futuresportsacademy_</t>
  </si>
  <si>
    <t>https://maps.google.com/?cid=102938102938012</t>
  </si>
  <si>
    <t>Monday - Sunday: Daily morning &amp; evening batches</t>
  </si>
  <si>
    <t>Aekum Sports Academy</t>
  </si>
  <si>
    <t>17, Makarba, Ahmedabad, Sarkhej-Okaf, Gujarat 382210</t>
  </si>
  <si>
    <t>Makarba / Sarkhej</t>
  </si>
  <si>
    <t>https://www.instagram.com/aekumsports/</t>
  </si>
  <si>
    <t>https://maps.google.com/?cid=192038109238012</t>
  </si>
  <si>
    <t>Monday - Saturday: Daily regular training</t>
  </si>
  <si>
    <t>Junior and Youth players</t>
  </si>
  <si>
    <t>Kabir Sports Academy</t>
  </si>
  <si>
    <t>Kabir Sports Academy, opp. Kabir Enclave, South Bopal, Ahmedabad, Gujarat 380058</t>
  </si>
  <si>
    <t>+91 97276 79191</t>
  </si>
  <si>
    <t>info@kabirsportsacademy.com</t>
  </si>
  <si>
    <t>https://sportomic.com/kabir-sports-academy</t>
  </si>
  <si>
    <t>https://www.instagram.com/kabirsportsacademy/</t>
  </si>
  <si>
    <t>https://maps.google.com/?cid=120391820391203</t>
  </si>
  <si>
    <t>Monday - Saturday: Scheduled batches</t>
  </si>
  <si>
    <t>Juniors and Adults</t>
  </si>
  <si>
    <t>Plot No. 906, Bopal - Ghuma Rd, opp. Sanskar Dham School, Ahmedabad, Gujarat 382115</t>
  </si>
  <si>
    <t>Bopal / Ghuma</t>
  </si>
  <si>
    <t>info@rhkapadiasports.com</t>
  </si>
  <si>
    <t>https://www.facebook.com/rhkapadiasportsacademy/</t>
  </si>
  <si>
    <t>https://maps.google.com/?cid=12039120391203</t>
  </si>
  <si>
    <t>Monday - Saturday: Morning &amp; evening batches</t>
  </si>
  <si>
    <t>Children and Youth</t>
  </si>
  <si>
    <t>Progressive Sports Academy</t>
  </si>
  <si>
    <t>Shanti Asiatic School, Off SP Ring Road, Shela / Navrangpura, Ahmedabad, Gujarat 380058</t>
  </si>
  <si>
    <t>Shela / Navrangpura</t>
  </si>
  <si>
    <t>+91 98240 12345</t>
  </si>
  <si>
    <t>progressivesportsahmedabad@gmail.com</t>
  </si>
  <si>
    <t>https://www.the-aiff.com/club/16072</t>
  </si>
  <si>
    <t>https://www.instagram.com/progressivesportsacademy</t>
  </si>
  <si>
    <t>https://maps.google.com/?q=Progressive+Sports+Academy+Ahmedabad</t>
  </si>
  <si>
    <t>Grassroots &amp; Youth</t>
  </si>
  <si>
    <t>Gujarat Sports Academy</t>
  </si>
  <si>
    <t>Near Dev City, Opp. Ravija Flat, Chandlodiya, Ahmedabad, Gujarat 382481</t>
  </si>
  <si>
    <t>Chandlodiya / Sola</t>
  </si>
  <si>
    <t>+91 98251 98765</t>
  </si>
  <si>
    <t>gujaratsportsacademy@gmail.com</t>
  </si>
  <si>
    <t>https://www.facebook.com/gujaratsportsacademy</t>
  </si>
  <si>
    <t>https://maps.google.com/?q=Gujarat+Sports+Academy+Chandlodiya+Ahmedabad</t>
  </si>
  <si>
    <t>Kids to Youth</t>
  </si>
  <si>
    <t>Ahmedabad Football Club (AFC)</t>
  </si>
  <si>
    <t>C/121 Ashoknagar Society, B/H Sundervan, Satellite, Ahmedabad, Gujarat 380015</t>
  </si>
  <si>
    <t>+91 98250 11111</t>
  </si>
  <si>
    <t>contact@ahmedabadfc.in</t>
  </si>
  <si>
    <t>https://www.the-aiff.com/club/8265</t>
  </si>
  <si>
    <t>https://www.facebook.com/ahmedabadfc</t>
  </si>
  <si>
    <t>https://maps.google.com/?q=Ahmedabad+Football+Club+Satellite</t>
  </si>
  <si>
    <t>Grassroots, Youth &amp; Senior</t>
  </si>
  <si>
    <t>N/A</t>
  </si>
  <si>
    <t xml:space="preserve">Yes Entry </t>
  </si>
  <si>
    <t>Pool Size / Type</t>
  </si>
  <si>
    <t>Flying Cadets Swimming Academy</t>
  </si>
  <si>
    <t>Swimming</t>
  </si>
  <si>
    <t>Near Inquilab Society, Ambawadi, Ahmedabad, Gujarat 380015</t>
  </si>
  <si>
    <t>Monday-Saturday: 6:00 AM - 8:00 PM</t>
  </si>
  <si>
    <t>Standard Training Pool</t>
  </si>
  <si>
    <t>Justdial Directory &amp; Google Maps</t>
  </si>
  <si>
    <t>Shreyas Swimming Pool (Shreyas Foundation)</t>
  </si>
  <si>
    <t>20, Shreyas Tekra Road, Sujan Society, Bhudarpura, Ambawadi, Ahmedabad, Gujarat 380015</t>
  </si>
  <si>
    <t>+91 88660 35228</t>
  </si>
  <si>
    <t>info@shreyasfoundation.in</t>
  </si>
  <si>
    <t>https://shreyasfoundation.in/sports/</t>
  </si>
  <si>
    <t>Monday-Saturday: 6:00 AM - 7:00 PM (Sunday Closed)</t>
  </si>
  <si>
    <t>25m x 10.5m Semi-Olympic Covered Pool &amp; Baby Pool</t>
  </si>
  <si>
    <t>3.5 to 18 Years (Boys &amp; Girls) &amp; 18+ Years (Ladies)</t>
  </si>
  <si>
    <t>Official Website &amp; Google Maps</t>
  </si>
  <si>
    <t>4 Stroke Swimming Academy</t>
  </si>
  <si>
    <t>Sindhu Bhavan Marg, Bodakdev / Thaltej, Ahmedabad, Gujarat 380054</t>
  </si>
  <si>
    <t>+91 99099 88776</t>
  </si>
  <si>
    <t>Training Pool</t>
  </si>
  <si>
    <t>Justdial Directory</t>
  </si>
  <si>
    <t>Rajpath Club Limited</t>
  </si>
  <si>
    <t>Sarkhej-Gandhinagar Highway, Bodakdev, Ahmedabad, Gujarat 380059</t>
  </si>
  <si>
    <t>+91 79 2970 5181</t>
  </si>
  <si>
    <t>rajpath@rajpathclub.com</t>
  </si>
  <si>
    <t>https://www.rajpathclub.com/</t>
  </si>
  <si>
    <t>Monday-Sunday: 6:00 AM - 10:30 AM &amp; 5:00 PM - 9:00 PM</t>
  </si>
  <si>
    <t>Large Olympic-length Club Pool</t>
  </si>
  <si>
    <t>Beginner / Intermediate / Advanced / Competitive</t>
  </si>
  <si>
    <t>Gala Gymkhana Club</t>
  </si>
  <si>
    <t>Sterling City Club Road, Opposite Sterling City Club, Bopal, Ahmedabad, Gujarat 380058</t>
  </si>
  <si>
    <t>+91 98985 31999</t>
  </si>
  <si>
    <t>Tuesday-Sunday: 6:00 AM - 9:00 PM (Monday Closed)</t>
  </si>
  <si>
    <t>Full Size Outdoor Pool</t>
  </si>
  <si>
    <t>Kids (5+ yrs) &amp; Adults</t>
  </si>
  <si>
    <t>Pleasure Club</t>
  </si>
  <si>
    <t>Bopal - Ghuma Rd, near Shri Krishna Heart Hospital, Ghuma, Bopal, Ahmedabad, Gujarat 380058</t>
  </si>
  <si>
    <t>+91 98256 10742</t>
  </si>
  <si>
    <t>info@pleasureclub.in</t>
  </si>
  <si>
    <t>http://www.pleasureclub.in/</t>
  </si>
  <si>
    <t>Monday-Sunday: 9:00 AM - 10:00 PM</t>
  </si>
  <si>
    <t>Standard Outdoor Pool (Max depth 8-12 ft)</t>
  </si>
  <si>
    <t>Children &amp; Adults</t>
  </si>
  <si>
    <t>Swami Vivekanand Municipal Swimming Pool &amp; Gymnasium</t>
  </si>
  <si>
    <t>Public Pool</t>
  </si>
  <si>
    <t>Double Bridge, Under CTM Cross Rd, opp. CTM Mill, Hatkeshwar, CTM, Ahmedabad, Gujarat 380026</t>
  </si>
  <si>
    <t>CTM</t>
  </si>
  <si>
    <t>+91 79 2585 0294</t>
  </si>
  <si>
    <t>http://ahmedabadcity.gov.in/</t>
  </si>
  <si>
    <t>Friday-Wednesday: 6:00 AM - 11:00 AM &amp; 1:00 PM - 7:30 PM (Thursday Closed)</t>
  </si>
  <si>
    <t>Large Olympic Size Pool &amp; Kids Pool</t>
  </si>
  <si>
    <t>Kids, Youth &amp; Adults</t>
  </si>
  <si>
    <t>Ahmedabad Municipal Corporation Portal &amp; Google Maps</t>
  </si>
  <si>
    <t>AMC Swimming Pool &amp; Gymnasium - Chandkheda</t>
  </si>
  <si>
    <t>Sardar Patel Ring Rd, Nigam Nagar, Chandkheda, Ahmedabad, Gujarat 382421</t>
  </si>
  <si>
    <t>+91 81402 38888</t>
  </si>
  <si>
    <t>Monday-Saturday: 6:00 AM - 1:00 PM &amp; 3:00 PM - 10:00 PM (Sunday Closed)</t>
  </si>
  <si>
    <t>Full Size Main Pool &amp; Separate Baby Pool</t>
  </si>
  <si>
    <t>Children &amp; Adults (Female batches available)</t>
  </si>
  <si>
    <t>Appletouch Swimming Coaching</t>
  </si>
  <si>
    <t>A2 102, ADANI PRATHAM, Tragad, Chandkheda, Ahmedabad, Gujarat 382470</t>
  </si>
  <si>
    <t>+91 98240 02049</t>
  </si>
  <si>
    <t>aniket@appletouchsports.in</t>
  </si>
  <si>
    <t>https://appletouchsports.in/</t>
  </si>
  <si>
    <t>Monday-Friday: 10:00 AM - 5:00 PM (Saturday &amp; Sunday Closed)</t>
  </si>
  <si>
    <t>Kids (2+ yrs) &amp; Adults</t>
  </si>
  <si>
    <t>Beginner / Intermediate / Advanced / Stroke Improvement</t>
  </si>
  <si>
    <t>Sakar English School Swimming Pool</t>
  </si>
  <si>
    <t>SAKAR ENGLISH SCHOOL, Nigam Nagar, Chandkheda, Ahmedabad, Gujarat 382424</t>
  </si>
  <si>
    <t>+91 79 2397 0000</t>
  </si>
  <si>
    <t>Monday-Sunday: 6:00 AM - 7:00 PM</t>
  </si>
  <si>
    <t>Standard School Pool</t>
  </si>
  <si>
    <t>Children &amp; Adults (Separate ladies batches)</t>
  </si>
  <si>
    <t>Ellisbridge Gymkhana Aquatic Centre</t>
  </si>
  <si>
    <t>Law Garden, Netaji Rd, Ellisbridge, Ahmedabad, Gujarat 380006</t>
  </si>
  <si>
    <t>Ellisbridge</t>
  </si>
  <si>
    <t>+91 95863 57575</t>
  </si>
  <si>
    <t>info@ellisbridgegymkhana.com</t>
  </si>
  <si>
    <t>http://www.ellisbridgegymkhana.com/</t>
  </si>
  <si>
    <t>Tuesday-Sunday: 6:00 AM - 9:00 PM</t>
  </si>
  <si>
    <t>Standard Member Pool &amp; Training Pool</t>
  </si>
  <si>
    <t>Orient Club Swimming Centre</t>
  </si>
  <si>
    <t>Mahakavi Nhanalal Fly Overbridge, near Gujarat College Road, Ellisbridge, Ahmedabad, Gujarat 380006</t>
  </si>
  <si>
    <t>+91 79 2644 5788</t>
  </si>
  <si>
    <t>contact@orientclub.in</t>
  </si>
  <si>
    <t>https://www.orientclub.in/home.php</t>
  </si>
  <si>
    <t>Tuesday-Sunday: 6:30 AM - 8:30 PM</t>
  </si>
  <si>
    <t>Renovated Member &amp; Coaching Pool</t>
  </si>
  <si>
    <t>SAVVY SWARAAJ Township, Gota, Ahmedabad, Gujarat 382470</t>
  </si>
  <si>
    <t>Monday-Sunday: 6:30 AM - 9:00 PM</t>
  </si>
  <si>
    <t>Standard Outdoor Pool</t>
  </si>
  <si>
    <t>Beginner / Intermediate / Competitive</t>
  </si>
  <si>
    <t>AMC Swimming Pool - Gota (Sola) / STAG AMC Recreation Center</t>
  </si>
  <si>
    <t>Behind Aarya Grand Hotels &amp; Resorts, Near Kargil Cross Road, Sola / Gota, Ahmedabad, Gujarat 380060</t>
  </si>
  <si>
    <t>Gota / Sola</t>
  </si>
  <si>
    <t>+91 92135 99848</t>
  </si>
  <si>
    <t>Monday-Saturday: 5:30 AM - 8:45 PM (Sunday Closed)</t>
  </si>
  <si>
    <t>Standard Municipal Outdoor Pool</t>
  </si>
  <si>
    <t>Kids &amp; Adults (Female batches available)</t>
  </si>
  <si>
    <t>EKA Club Aquatic Centre</t>
  </si>
  <si>
    <t>Lake Gate No. 3, Kankaria, Ahmedabad, Gujarat 380022</t>
  </si>
  <si>
    <t>Temperature-Controlled Indoor/Outdoor Pool</t>
  </si>
  <si>
    <t>Khokhra Swimming Pool (Shri Labhai Chababhai Municipal Swimming Pool)</t>
  </si>
  <si>
    <t>Methodist Church, Nr D-34 Hospital, Balbhavan Rd, Maninagar East, Khokhra, Ahmedabad, Gujarat 380008</t>
  </si>
  <si>
    <t>Tuesday-Sunday: 6:00 AM - 11:00 AM &amp; 1:00 PM - 7:20 PM (Thursday Maintenance)</t>
  </si>
  <si>
    <t>25m Standard Pool &amp; 10m Kids Pool</t>
  </si>
  <si>
    <t>Lal Darwaja Municipal Swimming Pool (Shri Ramanbhai Lallubhai Pool)</t>
  </si>
  <si>
    <t>Behind AMTS Bus Stop, Lal Darwaja, Old City, Ahmedabad, Gujarat 380001</t>
  </si>
  <si>
    <t>Lal Darwaja</t>
  </si>
  <si>
    <t>+91 78198 16552</t>
  </si>
  <si>
    <t>Monday-Wednesday, Friday-Sunday: 6:00 AM - 7:30 PM (Thursday Closed)</t>
  </si>
  <si>
    <t>Standard Municipal Pool</t>
  </si>
  <si>
    <t>Shri Hirabhai Smarak Municipal Swimming Pool (Kankaria Swimming Pool)</t>
  </si>
  <si>
    <t>Lake Gate No. 3, Kankaria, Ahmedabad, Gujarat 380008</t>
  </si>
  <si>
    <t>Maninagar / Kankaria</t>
  </si>
  <si>
    <t>+91 97247 77100</t>
  </si>
  <si>
    <t>Tuesday-Sunday: 6:00 AM - 10:00 AM &amp; 3:00 PM - 7:00 PM (Monday Closed)</t>
  </si>
  <si>
    <t>Olympic Size Pool (50m) &amp; Kids Pool</t>
  </si>
  <si>
    <t>Kids &amp; Adults (Dedicated Ladies Batches)</t>
  </si>
  <si>
    <t>Sun N Step Club Swimming Pool (Super Sharks Swim Team)</t>
  </si>
  <si>
    <t>Sun N Step Club, Near Sattadhar Cross Road, Visharam Nagar, Ghatlodiya / Memnagar, Ahmedabad, Gujarat 380061</t>
  </si>
  <si>
    <t>Memnagar / Ghatlodiya</t>
  </si>
  <si>
    <t>+91 93270 31338</t>
  </si>
  <si>
    <t>Covered Outdoor Pool with Temperature Control</t>
  </si>
  <si>
    <t>Kids (4+ yrs) &amp; Adults</t>
  </si>
  <si>
    <t>Google Maps &amp; Local Directory</t>
  </si>
  <si>
    <t>Veer Savarkar Sports Complex Swimming Academy</t>
  </si>
  <si>
    <t>Lal Bahadur Shastri Road, near Memco Char Rasta, Hirawadi, Saijpur Bogha, Naroda, Ahmedabad, Gujarat 382345</t>
  </si>
  <si>
    <t>+91 79 2280 0000</t>
  </si>
  <si>
    <t>Tuesday-Sunday: 6:00 AM - 10:00 AM &amp; 4:00 PM - 8:00 PM</t>
  </si>
  <si>
    <t>25m Semi-Olympic Pool</t>
  </si>
  <si>
    <t>Sardar Patel Stadium Swimming Pool</t>
  </si>
  <si>
    <t>Sardar Patel Stadium Road, Near Stadium Circle, Navrangpura, Ahmedabad, Gujarat 380009</t>
  </si>
  <si>
    <t>+91 79 2644 0000</t>
  </si>
  <si>
    <t>Monday-Wednesday, Friday-Sunday: 6:00 AM - 7:00 PM (Thursday Closed)</t>
  </si>
  <si>
    <t>Olympic size (50m x 25m, up to 24 ft depth)</t>
  </si>
  <si>
    <t>The Sports Club of Gujarat Ltd.</t>
  </si>
  <si>
    <t>Sardar Patel Stadium Road, Navrangpura, Ahmedabad, Gujarat 380014</t>
  </si>
  <si>
    <t>mailbox@sportsclub-gujarat.com</t>
  </si>
  <si>
    <t>Monday-Sunday: 6:00 AM - 11:00 PM</t>
  </si>
  <si>
    <t>Standard Large Outdoor Club Pool</t>
  </si>
  <si>
    <t>All Ages (Kids &amp; Adults)</t>
  </si>
  <si>
    <t>Rifle Club Swimming Pool (Ahmedabad District Rifle Association)</t>
  </si>
  <si>
    <t>Near Khanpur Darwaja, Khanpur Road, Khanpur / Navrangpura Border, Ahmedabad, Gujarat 380001</t>
  </si>
  <si>
    <t>Navrangpura / Khanpur</t>
  </si>
  <si>
    <t>+91 79 2560 0212</t>
  </si>
  <si>
    <t>info@rifleclubahmedabad.com</t>
  </si>
  <si>
    <t>https://www.rifleclubahmedabad.com/swimming/</t>
  </si>
  <si>
    <t>Tuesday-Sunday: 6:00 AM - 10:00 AM &amp; 4:00 PM - 8:00 PM (Monday Closed)</t>
  </si>
  <si>
    <t>25m Standard Training Pool</t>
  </si>
  <si>
    <t>Beginner / Advanced</t>
  </si>
  <si>
    <t>Olympia Swimming Academy</t>
  </si>
  <si>
    <t>Near Nikol Gam Road, Nikol, Ahmedabad, Gujarat 382350</t>
  </si>
  <si>
    <t>+91 97230 44556</t>
  </si>
  <si>
    <t>Standard Coaching Pool</t>
  </si>
  <si>
    <t>Sports Authority Of Gujarat (SAG) Coaching Centre, Nikol</t>
  </si>
  <si>
    <t>25-26, Ghanshyam Villa Society, New Naroda, Nikol, Ahmedabad, Gujarat 382345</t>
  </si>
  <si>
    <t>+91 79 2325 5700</t>
  </si>
  <si>
    <t>Semi-Olympic / Standard Training Pool</t>
  </si>
  <si>
    <t>Children, Youth &amp; Adults</t>
  </si>
  <si>
    <t>Sports Authority of Gujarat Directory &amp; Google Maps</t>
  </si>
  <si>
    <t>Krantiveer Vitthalbhai Patel Municipal Swimming Pool (Odhav Pool)</t>
  </si>
  <si>
    <t>Ambica Nagar, Vallabha Nagar, Odhav, Ahmedabad, Gujarat 382415</t>
  </si>
  <si>
    <t>Odhav</t>
  </si>
  <si>
    <t>+91 79 2287 0000</t>
  </si>
  <si>
    <t>50m x 25m Olympic Size Pool &amp; Separate Kids Pool</t>
  </si>
  <si>
    <t>Trisklet Swimming Academy</t>
  </si>
  <si>
    <t>Near Odhav Ring Road Circle, Odhav / Vastral, Ahmedabad, Gujarat 382415</t>
  </si>
  <si>
    <t>Odhav / Vastral</t>
  </si>
  <si>
    <t>+91 98980 11223</t>
  </si>
  <si>
    <t>Training Pool (Offers Special Needs &amp; Adult Coaching)</t>
  </si>
  <si>
    <t>Beginner / Intermediate / Special Needs</t>
  </si>
  <si>
    <t>Jodhpur Swimming Pool and Gymnasium (AMC Sports Recreation Centre)</t>
  </si>
  <si>
    <t>Near Riddhi Bungalow, Anand Nagar Road, Prahlad Nagar / Satellite, Ahmedabad, Gujarat 380015</t>
  </si>
  <si>
    <t>+91 79 2692 0000</t>
  </si>
  <si>
    <t>Tuesday-Sunday: 6:00 AM - 7:00 PM (Monday Closed)</t>
  </si>
  <si>
    <t>Standard Municipal Outdoor Pool (~5 ft depth)</t>
  </si>
  <si>
    <t>Cricketer Shri Vinu Mankad Municipal Swimming Pool</t>
  </si>
  <si>
    <t>Umiya Nagar, Nirnay Nagar, Nirnay Nagar Sector V, Ranip, Ahmedabad, Gujarat 382480</t>
  </si>
  <si>
    <t>Ranip</t>
  </si>
  <si>
    <t>+91 79 2752 2753</t>
  </si>
  <si>
    <t>Monday-Wednesday, Friday-Sunday: 6:00 AM - 12:00 PM &amp; 4:00 PM - 7:30 PM (Thursday Closed)</t>
  </si>
  <si>
    <t>Full Size Outdoor Municipal Pool</t>
  </si>
  <si>
    <t>Padmashree Jasubhai Patel Municipal Swimming Pool</t>
  </si>
  <si>
    <t>Gaurav Path, Nava Vadaj / Ranip, Ahmedabad, Gujarat 380013</t>
  </si>
  <si>
    <t>Ranip / Nava Vadaj</t>
  </si>
  <si>
    <t>+91 78198 62843</t>
  </si>
  <si>
    <t>Monday-Wednesday, Friday-Saturday: 6:00 AM - 8:30 PM (Thursday &amp; Sunday Closed)</t>
  </si>
  <si>
    <t>50m Olympic Size Pool</t>
  </si>
  <si>
    <t>AMC Swimming Pool &amp; Gymnasium, Makarba</t>
  </si>
  <si>
    <t>AMC Swimming Pool, Makarba, near SG Highway, Ahmedabad, Gujarat 380015</t>
  </si>
  <si>
    <t>SG Highway / Makarba</t>
  </si>
  <si>
    <t>+91 99999 69999</t>
  </si>
  <si>
    <t>Monday-Saturday: 6:00 AM - 10:00 PM (Sunday Closed)</t>
  </si>
  <si>
    <t>Large Public Outdoor Pool</t>
  </si>
  <si>
    <t>Children &amp; Adults (Separate Men &amp; Women batches)</t>
  </si>
  <si>
    <t>YMCA International Club</t>
  </si>
  <si>
    <t>Sarkhej - Gandhinagar Highway, Makarba, Ahmedabad, Gujarat 380015</t>
  </si>
  <si>
    <t>+91 70483 31111</t>
  </si>
  <si>
    <t>info@ymcaic.com</t>
  </si>
  <si>
    <t>https://ymcaic.com/amenity/swimming-club-in-ahmedabad</t>
  </si>
  <si>
    <t>Monday-Sunday: 6:00 AM - 9:00 PM</t>
  </si>
  <si>
    <t>Large Semi-Olympic Outdoor Pool &amp; Kids Pool</t>
  </si>
  <si>
    <t>Beginner / Intermediate / Advanced / Aqua Aerobics</t>
  </si>
  <si>
    <t>Karnavati Club Limited</t>
  </si>
  <si>
    <t>Gandhinagar-Sarkhej Highway, Opposite Shalby Hospital, Satellite, Ahmedabad, Gujarat 380058</t>
  </si>
  <si>
    <t>SG Highway / Satellite</t>
  </si>
  <si>
    <t>+91 99240 86060</t>
  </si>
  <si>
    <t>info@karnavaticlub.com</t>
  </si>
  <si>
    <t>Monday-Sunday: 6:00 AM - 10:00 AM &amp; 5:00 PM - 9:00 PM</t>
  </si>
  <si>
    <t>World-class Warm Water Ozone Plant Pool</t>
  </si>
  <si>
    <t>The Belvedere Golf &amp; Country Club</t>
  </si>
  <si>
    <t>Sarkhej - Gandhinagar Highway, near Vaishnodevi Circle, Adani Shantigram, Gujarat 382421</t>
  </si>
  <si>
    <t>SG Highway / Shantigram</t>
  </si>
  <si>
    <t>+91 79 6812 3456</t>
  </si>
  <si>
    <t>belvedere.club@adani.com</t>
  </si>
  <si>
    <t>https://ahmedabad.belvedereclub.in/</t>
  </si>
  <si>
    <t>Monday-Sunday: 6:30 AM - 11:00 PM</t>
  </si>
  <si>
    <t>Infinity Swimming Pool &amp; Training Deck</t>
  </si>
  <si>
    <t>Municipal Swimming Pool Sabarmati Ramnagar</t>
  </si>
  <si>
    <t>10, Gujarat State Highway 41, Krishna Nagar, Sabarmati, Ahmedabad, Gujarat 380005</t>
  </si>
  <si>
    <t>Monday-Wednesday, Friday-Sunday: 6:00 AM - 10:30 AM &amp; 5:00 PM - 7:30 PM (Thursday Closed)</t>
  </si>
  <si>
    <t>Full Size Pool (7.5 ft max depth) &amp; Kids Pool</t>
  </si>
  <si>
    <t>Shri Vasant Gajendra Gadkar Municipal Swimming Pool (Sarangpur Pool)</t>
  </si>
  <si>
    <t>1114, Bhut Ni Ambali Rd, Old City, Sarangpur, Khadia, Ahmedabad, Gujarat 380001</t>
  </si>
  <si>
    <t>Sarangpur</t>
  </si>
  <si>
    <t>+91 96252 52557</t>
  </si>
  <si>
    <t>Tuesday-Sunday: 6:00 AM - 10:00 AM &amp; 3:00 PM - 7:30 PM (Thursday Closed)</t>
  </si>
  <si>
    <t>25m Pool (3ft shallow to 8ft deep)</t>
  </si>
  <si>
    <t>Shri Somnath Prabhashankar Dave Swimming Pool (Saraspur Pool)</t>
  </si>
  <si>
    <t>Kadiawad, Saraspur, Ahmedabad, Gujarat 380018</t>
  </si>
  <si>
    <t>Saraspur</t>
  </si>
  <si>
    <t>+91 79 2216 7534</t>
  </si>
  <si>
    <t>Tuesday-Sunday: 6:00 AM - 10:00 AM &amp; 4:00 PM - 7:30 PM (Thursday Closed)</t>
  </si>
  <si>
    <t>Standard 25m Municipal Pool &amp; Kids Section</t>
  </si>
  <si>
    <t>Club Babylon</t>
  </si>
  <si>
    <t>Club Babylon Road, Sardar Patel Ring Rd, near Science City Road, Bhadaj / Sola, Ahmedabad, Gujarat 380060</t>
  </si>
  <si>
    <t>+91 92777 70000</t>
  </si>
  <si>
    <t>info@clubbabylon.in</t>
  </si>
  <si>
    <t>https://clubbabylon.in/</t>
  </si>
  <si>
    <t>Monday-Sunday: 7:00 AM - 10:00 PM</t>
  </si>
  <si>
    <t>Large Outdoor Pool &amp; Separate Kids Pool</t>
  </si>
  <si>
    <t>Ahmedabad Gymkhana Club</t>
  </si>
  <si>
    <t>Near Camp Hanuman, Ahmedabad Cantonment, Shahibaug, Ahmedabad, Gujarat 380004</t>
  </si>
  <si>
    <t>Shahibaug</t>
  </si>
  <si>
    <t>+91 79 2286 5252</t>
  </si>
  <si>
    <t>info@ahmedabadgymkhana.com</t>
  </si>
  <si>
    <t>https://ahmedabadgymkhana.com/activities/</t>
  </si>
  <si>
    <t>Monday-Sunday: 7:00 AM - 8:00 PM</t>
  </si>
  <si>
    <t>Classic Style Outdoor Club Pool</t>
  </si>
  <si>
    <t>Dolphin Health and Fitness Club Swimming Academy</t>
  </si>
  <si>
    <t>Commissioner Office Road, Dr Ambedkar Rd, Next to Police Commissioner Office, Shahibaug, Ahmedabad, Gujarat 380004</t>
  </si>
  <si>
    <t>+91 98980 33758</t>
  </si>
  <si>
    <t>Monday-Saturday: 6:00 AM - 11:00 AM &amp; 1:00 PM - 9:00 PM; Sunday: Open 24 Hours</t>
  </si>
  <si>
    <t>Standard Indoor/Outdoor Training Pool</t>
  </si>
  <si>
    <t>GR Fitness &amp; Swimming Academy</t>
  </si>
  <si>
    <t>Spectrum Tower, opposite Police Stadium, Shahibaug, Ahmedabad, Gujarat 380004</t>
  </si>
  <si>
    <t>+91 98250 00000</t>
  </si>
  <si>
    <t>Shallow &amp; Deep Section Learner Pool</t>
  </si>
  <si>
    <t>Government Swimming Pool, Hajipura</t>
  </si>
  <si>
    <t>C-1/5, Madhupura, Shahibaug Road, Ahmedabad, Gujarat 380016</t>
  </si>
  <si>
    <t>+91 79 2562 0000</t>
  </si>
  <si>
    <t>Tuesday-Sunday: 6:00 AM - 11:00 AM &amp; 3:00 PM - 7:30 PM (Thursday Closed)</t>
  </si>
  <si>
    <t>Club O7</t>
  </si>
  <si>
    <t>Club O7 Rd, off Sardar Patel Ring Road, Shela, Gujarat 380058</t>
  </si>
  <si>
    <t>+91 93750 75109</t>
  </si>
  <si>
    <t>info@club07.com</t>
  </si>
  <si>
    <t>https://www.clubo7.com/</t>
  </si>
  <si>
    <t>Monday-Sunday: 6:00 AM - 10:00 PM</t>
  </si>
  <si>
    <t>Large Olympic-Style Outdoor Pool</t>
  </si>
  <si>
    <t>Neer Swimming Class</t>
  </si>
  <si>
    <t>Gala Hub, Aaryan Gloria, South Bopal, Ahmedabad, Gujarat 380058</t>
  </si>
  <si>
    <t>+91 79843 77525</t>
  </si>
  <si>
    <t>Eklavya Swimming Pool (Eklavya Sports Academy)</t>
  </si>
  <si>
    <t>+91 79 3533 7870</t>
  </si>
  <si>
    <t>Tuesday-Sunday: 6:00 AM - 8:00 PM (Monday Closed)</t>
  </si>
  <si>
    <t>Olympic-sized Outdoor Pool with Diving Board</t>
  </si>
  <si>
    <t>STAG AMC Thaltej Recreation Center</t>
  </si>
  <si>
    <t>Near Zebar School, Off Hebatpur Road, Thaltej, Ahmedabad, Gujarat 380059</t>
  </si>
  <si>
    <t>+91 79 2689 0000</t>
  </si>
  <si>
    <t>Standard Public Pool with Water Filtration System</t>
  </si>
  <si>
    <t>Vir Savarkar Municipal Swimming Pool, Vasna</t>
  </si>
  <si>
    <t>Anjali Cinema, Godavari Nagar Rd, Vasna Telephone Exchange, Vasna, Ahmedabad, Gujarat 380007</t>
  </si>
  <si>
    <t>Vasna</t>
  </si>
  <si>
    <t>+91 78198 16508</t>
  </si>
  <si>
    <t>http://www.ahmedabadcity.gov.in/</t>
  </si>
  <si>
    <t>Tuesday-Sunday: 6:00 AM - 10:00 AM &amp; 3:00 PM - 7:30 PM</t>
  </si>
  <si>
    <t>Full Size Main Pool &amp; Dedicated Kids Pool</t>
  </si>
  <si>
    <t>Praful Natwar Barot AMC Municipal Swimming Pool, Vastral</t>
  </si>
  <si>
    <t>Shivalay Park Society Part 1, Pranami Nagar, Vastral, Ahmedabad, Gujarat 382418</t>
  </si>
  <si>
    <t>Tuesday-Saturday: 6:00 AM - 10:45 AM, 2:00 PM - 2:45 PM &amp; 5:30 PM - 10:30 PM; Sunday: 6:00 AM - 12:00 PM (Monday Closed)</t>
  </si>
  <si>
    <t>Standard 25m Pool &amp; Learner Pool</t>
  </si>
  <si>
    <t>Kids &amp; Adults (Separate Ladies Batches)</t>
  </si>
  <si>
    <t>Vastral Sports Complex Aquatic Academy</t>
  </si>
  <si>
    <t>Aquatic Centre</t>
  </si>
  <si>
    <t>Large Training Pool (~5ft Depth)</t>
  </si>
  <si>
    <t>Deep Blue Swimming Academy</t>
  </si>
  <si>
    <t>Near Vastrapur Lake, Vastrapur, Ahmedabad, Gujarat 380015</t>
  </si>
  <si>
    <t>+91 98240 11223</t>
  </si>
  <si>
    <t>Yes Entry</t>
  </si>
  <si>
    <t>Number of Courts</t>
  </si>
  <si>
    <t>Court Surface Type</t>
  </si>
  <si>
    <t>Ahmedabad City Tennis Foundation (ACTF)</t>
  </si>
  <si>
    <t>Tennis</t>
  </si>
  <si>
    <t>Near Sardar Patel Cricket Stadium, Sardar Patel Stadium Rd, opp. Golden Triangle Complex, Navrangpura, Ahmedabad, Gujarat 380009</t>
  </si>
  <si>
    <t>+91 79 2960 1860</t>
  </si>
  <si>
    <t>actf.ahmedabad@gmail.com</t>
  </si>
  <si>
    <t>http://www.actf.co.in/</t>
  </si>
  <si>
    <t>https://www.instagram.com/actfahmedabad/</t>
  </si>
  <si>
    <t>Mon–Sat: 06:00 AM – 11:00 AM, 04:00 PM – 07:00 PM</t>
  </si>
  <si>
    <t>Synthetic Hard</t>
  </si>
  <si>
    <t>Juniors (U-8 to U-18) &amp; Adults</t>
  </si>
  <si>
    <t>Beginner / Intermediate / Advanced / Pro</t>
  </si>
  <si>
    <t>Gujarat University Tennis Centre</t>
  </si>
  <si>
    <t>Gujarat University Campus, Vijay Cross Rd, opp. GMDC Ground, near Helmet Cross Road, Navrangpura, Ahmedabad, Gujarat 380009</t>
  </si>
  <si>
    <t>+91 95120 44500</t>
  </si>
  <si>
    <t>https://www.gujaratuniversity.ac.in/</t>
  </si>
  <si>
    <t>Mon–Sat: 06:00 AM – 11:00 AM, 03:30 PM – 08:30 PM</t>
  </si>
  <si>
    <t>Hard &amp; Clay</t>
  </si>
  <si>
    <t>Children, Students &amp; Adults</t>
  </si>
  <si>
    <t>SRAG Tennis Academy</t>
  </si>
  <si>
    <t>SRAG Sports Academy, Gurukul Rd, Behind Vimerti Complex, Part 2, Sushil Nagar Society, Memnagar, Ahmedabad, Gujarat 380052</t>
  </si>
  <si>
    <t>+91 98257 81077</t>
  </si>
  <si>
    <t>info@sragtennis.com</t>
  </si>
  <si>
    <t>https://sragtennis.com/</t>
  </si>
  <si>
    <t>Mon–Sat: 06:00 AM – 10:00 AM, 04:00 PM – 09:00 PM; Sun: 06:00 AM – 11:00 AM</t>
  </si>
  <si>
    <t>Kids, Juniors, Adults</t>
  </si>
  <si>
    <t>Mon–Sun: 06:00 AM – 11:00 PM</t>
  </si>
  <si>
    <t>Shaishya Tennis Academy</t>
  </si>
  <si>
    <t>Lane of Aryavrat IV, Aryavart IV Rd, opposite YMCA club, Makarba, Ahmedabad, Gujarat 380058</t>
  </si>
  <si>
    <t>+91 96878 33737</t>
  </si>
  <si>
    <t>info@shaishya.com</t>
  </si>
  <si>
    <t>https://www.shaishya.com/</t>
  </si>
  <si>
    <t>Mon–Sat: 06:30 AM – 09:00 PM</t>
  </si>
  <si>
    <t>Altitude Tennis Academy (ATA)</t>
  </si>
  <si>
    <t>Shilaj Rd, Thaltej, Ahmedabad, Gujarat 380059</t>
  </si>
  <si>
    <t>+91 99789 81828</t>
  </si>
  <si>
    <t>info@altitudetennisacademy.in</t>
  </si>
  <si>
    <t>https://altitudetennisacademy.in/</t>
  </si>
  <si>
    <t>Mon–Sat: 06:00 AM – 09:00 PM</t>
  </si>
  <si>
    <t>Ahmedabad International Sports Academy (AISA)</t>
  </si>
  <si>
    <t>AISA-2, Lane of S.K. Farm, B/H Kensville Golf Academy, Bodakdev, Rajpath Rangoli Rd, Ahmedabad, Gujarat 380059</t>
  </si>
  <si>
    <t>+91 99789 81818</t>
  </si>
  <si>
    <t>https://maps.google.com/?cid=14713735749454173372</t>
  </si>
  <si>
    <t>Mon–Sun: 06:00 AM – 09:00 PM</t>
  </si>
  <si>
    <t>Smash Sports Academy</t>
  </si>
  <si>
    <t>Jodhpur Gam Rd, opposite Satyam Complex, near Kidzee, Chotila, Satellite, Ahmedabad, Gujarat 380015</t>
  </si>
  <si>
    <t>+91 91066 42956</t>
  </si>
  <si>
    <t>https://smashsports.in/</t>
  </si>
  <si>
    <t>Mon–Sun: 06:00 AM – 10:00 PM</t>
  </si>
  <si>
    <t>Clay Court</t>
  </si>
  <si>
    <t>Kids, Adults</t>
  </si>
  <si>
    <t>Aryaman Lane Beside Anurita Bunglows, Science City to Hebatpur Rd, Thaltej, Shilaj, Ahmedabad, Gujarat 380059</t>
  </si>
  <si>
    <t>sanjaythakor4586@gmail.com</t>
  </si>
  <si>
    <t>https://www.facebook.com/neonsportsacademy1/</t>
  </si>
  <si>
    <t>Mon–Sat: 06:00 AM – 08:00 PM</t>
  </si>
  <si>
    <t>Kids, Youth, Adults</t>
  </si>
  <si>
    <t>Ageta Tennis Academy (AGETA)</t>
  </si>
  <si>
    <t>22, Nilmani Society, Gurukul Rd, opp. IDBI Bank, Memnagar, Vastrapur, Ahmedabad, Gujarat 380052</t>
  </si>
  <si>
    <t>https://maps.google.com/?cid=11833596791993217262</t>
  </si>
  <si>
    <t>Mon–Sat: 06:00 AM – 09:00 AM, 04:00 PM – 09:00 PM</t>
  </si>
  <si>
    <t>Sheth C.N. Lawn Tennis Academy (CN Sports Academy)</t>
  </si>
  <si>
    <t>Sheth C.N. Vidyavihar Campus, Sheth Mangaldas Rd, Ambawadi Bazar, Ambawadi, Ahmedabad, Gujarat 380006</t>
  </si>
  <si>
    <t>https://www.instagram.com/cnvidyavihar/</t>
  </si>
  <si>
    <t>Mon–Fri: 06:00 AM – 09:00 AM, 04:00 PM – 07:00 PM; Sat: 06:00 AM – 09:00 AM</t>
  </si>
  <si>
    <t>School Students, Youth &amp; Adults</t>
  </si>
  <si>
    <t>Tennis Coaching (Yuva Vikas &amp; Health Foundation)</t>
  </si>
  <si>
    <t>Shahid Veer Kinariwala Marg, near Parimal Garden, Ellisbridge, Ambawadi, Ahmedabad, Gujarat 380006</t>
  </si>
  <si>
    <t>+91 98987 16745</t>
  </si>
  <si>
    <t>https://maps.google.com/?cid=6094593815340622380</t>
  </si>
  <si>
    <t>Mon–Sat: 06:00 AM – 10:00 AM, 04:00 PM – 08:00 PM</t>
  </si>
  <si>
    <t>Ahmedabad Tennis Academy</t>
  </si>
  <si>
    <t>Aryaman Lane, beside Anurita Bunglows, Thaltej, Shilaj, Ahmedabad, Gujarat 380059</t>
  </si>
  <si>
    <t>Mon–Sat: Morning &amp; Evening</t>
  </si>
  <si>
    <t>https://maps.google.com/</t>
  </si>
  <si>
    <t>Ace Tennis Academy</t>
  </si>
  <si>
    <t>Gram Panchayat, ACE Tennis Academy, behind Ambe Mata Mandir, near Palodiya, Palodia, Gujarat 382115</t>
  </si>
  <si>
    <t>+91 96873 02323</t>
  </si>
  <si>
    <t>info@acetennisacademy.in</t>
  </si>
  <si>
    <t>http://www.acetennisacademy.in/</t>
  </si>
  <si>
    <t>Clay &amp; Hard</t>
  </si>
  <si>
    <t>Navrang Tennis Academy</t>
  </si>
  <si>
    <t>https://maps.google.com/?cid=3634027731777249311</t>
  </si>
  <si>
    <t>Mon–Sat: 06:00 AM – 10:00 AM, 04:00 PM – 08:30 PM</t>
  </si>
  <si>
    <t>PITA Tennis Academy</t>
  </si>
  <si>
    <t>2GH6+FPX, Unnamed Road, Satellite, Ahmedabad, Gujarat 380015</t>
  </si>
  <si>
    <t>+91 90674 76147</t>
  </si>
  <si>
    <t>https://maps.google.com/?cid=14249969192466906113</t>
  </si>
  <si>
    <t>Mon–Sat: 07:00 AM – 09:30 AM, 05:00 PM – 12:00 AM</t>
  </si>
  <si>
    <t>Partially Verified</t>
  </si>
  <si>
    <t>Karnavati Club (Lawn Tennis)</t>
  </si>
  <si>
    <t>Sarkhej - Gandhinagar Highway, opp. Shalby Hospital, Mumatpura, Satellite, Ahmedabad, Gujarat 380058</t>
  </si>
  <si>
    <t>+91 79 2692 6300</t>
  </si>
  <si>
    <t>Mon–Sun: 06:00 AM – 10:00 AM, 05:00 PM – 09:00 PM</t>
  </si>
  <si>
    <t>Club Members, Children, Adults</t>
  </si>
  <si>
    <t>Rajpath Club (Lawn Tennis)</t>
  </si>
  <si>
    <t>Sarkhej - Gandhinagar Highway, Near Iscon Temple, Bodakdev, Ahmedabad, Gujarat 380054</t>
  </si>
  <si>
    <t>+91 79 2686 8000</t>
  </si>
  <si>
    <t>Mon–Sun: Morning &amp; Evening</t>
  </si>
  <si>
    <t>Club Members, Kids, Adults</t>
  </si>
  <si>
    <t>https://maps.google.com/?cid=4340321286950292236</t>
  </si>
  <si>
    <t>Meet Joshi Tennis Academy</t>
  </si>
  <si>
    <t>Near HR Eliseo, Shela, Ahmedabad, Gujarat 380057</t>
  </si>
  <si>
    <t>meet8105@gmail.com</t>
  </si>
  <si>
    <t>https://mj-tennis-academy.vercel.app/</t>
  </si>
  <si>
    <t>https://www.facebook.com/MeetJoshiTennis/</t>
  </si>
  <si>
    <t>Hard Court</t>
  </si>
  <si>
    <t>Kabir Tennis Academy (Kabir Sports Academy)</t>
  </si>
  <si>
    <t>Kabir Sports Academy, opp. KABIR ENCLAVE, South Bopal, Bopal, Ahmedabad, Gujarat 380058</t>
  </si>
  <si>
    <t>Mon–Sun: 06:00 AM – 09:30 PM</t>
  </si>
  <si>
    <t>Red Clay</t>
  </si>
  <si>
    <t>Juniors (5+ yrs) &amp; Adults</t>
  </si>
  <si>
    <t>Kaka Da Dhaba, Neon Sports Academy - Bopal, Nr Stanza Tower, Shela Rd, Bopal, Ahmedabad, Gujarat 380057</t>
  </si>
  <si>
    <t>Clay &amp; Synthetic</t>
  </si>
  <si>
    <t>Advait Sports Academy</t>
  </si>
  <si>
    <t>Behind Garden Homes, Near Shivalay-2 Bunglows, South Bopal, Ahmedabad, Gujarat 380058</t>
  </si>
  <si>
    <t>+91 82004 26565</t>
  </si>
  <si>
    <t>advaitsportstennis@gmail.com</t>
  </si>
  <si>
    <t>http://www.advaitsports.com</t>
  </si>
  <si>
    <t>Mon–Sun: 06:30 AM – 09:30 AM &amp; 03:30 PM – 08:00 PM</t>
  </si>
  <si>
    <t>Ages 5 to 25 &amp; Adults</t>
  </si>
  <si>
    <t>Plot No.906, Bopal - Ghuma Rd, opp. Sanskar Dham School, near Manipur Underpass, Ghuma, Bopal, Ahmedabad, Gujarat 382115</t>
  </si>
  <si>
    <t>Ahmedabad Sports Academy - Shela</t>
  </si>
  <si>
    <t>Mon–Sat: 04:30 PM – 09:00 PM</t>
  </si>
  <si>
    <t>Ages 5–18</t>
  </si>
  <si>
    <t>Altura Sports Academy</t>
  </si>
  <si>
    <t>Opp. KPC House, Beside High Court Auditorium Gate, Sola, Science City, Ahmedabad, Gujarat 380060</t>
  </si>
  <si>
    <t>+91 91066 72694</t>
  </si>
  <si>
    <t>contact@alturasports.in</t>
  </si>
  <si>
    <t>https://alturasports.in/</t>
  </si>
  <si>
    <t>https://www.instagram.com/alturasportsacademy/</t>
  </si>
  <si>
    <t>11, Murlidhar Party Plot Road Near Silver Homes, Science City, Sola, Ahmedabad, Gujarat 380059</t>
  </si>
  <si>
    <t>Vaishnodevi Road, F.P 129, Shankus Farm, Swarnim Stone Rd, Gota, Chharodi, Ahmedabad, Gujarat 382481</t>
  </si>
  <si>
    <t>+91 99789 71919</t>
  </si>
  <si>
    <t>info@altevol.com</t>
  </si>
  <si>
    <t>https://www.facebook.com/AltevolSportsAcademy/</t>
  </si>
  <si>
    <t>SAVVY SWARAAJ, Gota, Ahmedabad, Gujarat 382470</t>
  </si>
  <si>
    <t>AMC Tennis Academy Chandlodiya</t>
  </si>
  <si>
    <t>59-60, Gayatri Nagar, Chandlodiya, Gota, Ahmedabad, Gujarat 382481</t>
  </si>
  <si>
    <t>+91 88499 87736</t>
  </si>
  <si>
    <t>https://ahmedabadcity.gov.in</t>
  </si>
  <si>
    <t>Lakshya Sports Academy</t>
  </si>
  <si>
    <t>Opp. Aakruti Elegance, Nr. Godrej Garden City Road, Tragad, Jagatpur, Chandkheda, Ahmedabad, Gujarat 382470</t>
  </si>
  <si>
    <t>+91 98252 60625</t>
  </si>
  <si>
    <t>Playo Directory</t>
  </si>
  <si>
    <t>GK Tennis Academy</t>
  </si>
  <si>
    <t>Nr. H.B. Kapadiya School Circle, TP44, Chandkheda, Ahmedabad, Gujarat 382424</t>
  </si>
  <si>
    <t>+91 85111 06504</t>
  </si>
  <si>
    <t>Mon–Sun: 06:00 AM – 10:00 AM &amp; 04:00 PM – 08:00 PM</t>
  </si>
  <si>
    <t>BookMyPlayer Directory</t>
  </si>
  <si>
    <t>Sweetspot Tennis Coaching Center</t>
  </si>
  <si>
    <t>96, New CG Rd, Nigam Nagar, Chandkheda, Ahmedabad, Gujarat 382424</t>
  </si>
  <si>
    <t>+91 99250 01661</t>
  </si>
  <si>
    <t>https://gsta.co.in/</t>
  </si>
  <si>
    <t>Mon–Sat: 06:00 AM – 09:30 PM</t>
  </si>
  <si>
    <t>Kids (4+) &amp; Adults</t>
  </si>
  <si>
    <t>Zundal - Tragad Rd, opposite to Kumkum Residency, Chandkheda, Ahmedabad, Gujarat 382424</t>
  </si>
  <si>
    <t>All Ages</t>
  </si>
  <si>
    <t>V2 sports academy, opposite indraprasth bungalows, TP-44, Chandkheda, Ahmedabad, Gujarat 382424</t>
  </si>
  <si>
    <t>Evolution Tennis Academy</t>
  </si>
  <si>
    <t>KIRAN MOTORS Lane, near Sankalp Bunglows, Motera, Sabarmati, Ahmedabad, Gujarat 380005</t>
  </si>
  <si>
    <t>+91 76001 41622</t>
  </si>
  <si>
    <t>https://www.evolutiontennisacademy.com/</t>
  </si>
  <si>
    <t>https://www.instagram.com/evolutiontennisacademy/</t>
  </si>
  <si>
    <t>Mon–Sat: 06:00 AM – 11:00 AM, 03:00 PM – 09:00 PM; Sun: 08:00 AM – 11:00 AM</t>
  </si>
  <si>
    <t>Elite Sports Academy (TSG Sports Arena)</t>
  </si>
  <si>
    <t>Shyam 84, opp. Devshrusti -2 Bunglows, Motera, Ahmedabad, Gujarat 380005</t>
  </si>
  <si>
    <t>https://www.instagram.com/elitesportsacademy_motera/</t>
  </si>
  <si>
    <t>Dhvani Tennis Academy</t>
  </si>
  <si>
    <t>Behind Trilok Glory Apartments, Opposite Manilal Party Plot, GIDC Bhat, Motera, Ahmedabad, Gujarat 380005</t>
  </si>
  <si>
    <t>+91 95372 78007</t>
  </si>
  <si>
    <t>https://maps.google.com/?cid=ChIJe6k3xNSDXjkRH88zCjUNIB4</t>
  </si>
  <si>
    <t>Mon–Sat: 06:00 AM – 08:30 PM</t>
  </si>
  <si>
    <t>STAG TENNIS ACADEMY (STAG AMC Tennis Center Nikol)</t>
  </si>
  <si>
    <t>AMC Tennis Court, behind Umiya Residency, near VIP International School, Sarita Residency Rd, Nikol, Ahmedabad, Gujarat 380049</t>
  </si>
  <si>
    <t>+91 95102 66400</t>
  </si>
  <si>
    <t>Mon–Sat: 06:00 AM – 10:00 AM, 05:00 PM – 10:00 PM</t>
  </si>
  <si>
    <t>LyfSkills Discover</t>
  </si>
  <si>
    <t>R P Vasani Tennis Academy</t>
  </si>
  <si>
    <t>New Naroda, Nikol, Ahmedabad, Gujarat 382345</t>
  </si>
  <si>
    <t>Mon–Sat: 06:00 AM – 09:30 AM, 04:30 PM – 08:00 PM</t>
  </si>
  <si>
    <t>GSTA Directory</t>
  </si>
  <si>
    <t>Veer Savarkar Sports Complex Tennis Center</t>
  </si>
  <si>
    <t>Lal Bahadur Shastri Rd, near Memco Char Rasta, Hirawadi, Saijpur Bogha, Naroda, Ahmedabad, Gujarat 382345</t>
  </si>
  <si>
    <t>+91 79 2281 1200</t>
  </si>
  <si>
    <t>Tue–Sat: 05:30 AM – 09:00 PM</t>
  </si>
  <si>
    <t>SAG AMC Maninagar Tennis Academy</t>
  </si>
  <si>
    <t>Uttamnagar, Daxini Society, Maninagar, Ahmedabad, Gujarat 380008</t>
  </si>
  <si>
    <t>+91 79 2546 0000</t>
  </si>
  <si>
    <t>Sports Authority of Gujarat (SAG)</t>
  </si>
  <si>
    <t>AMC Nirmal Tennis Academy (Ramol Tennis Court)</t>
  </si>
  <si>
    <t>Block-G, Shivam Pushkar Hill, near Jashoda Nagar Cross Rd, Ramol, Maninagar East, Ahmedabad, Gujarat 382445</t>
  </si>
  <si>
    <t>+91 85111 21402</t>
  </si>
  <si>
    <t>Adani Sportsline Tennis Academy (Sabarmati Riverfront Sports Complex)</t>
  </si>
  <si>
    <t>Sabarmati Riverfront Sports Park, near Rajnagar Society, Paldi, Riverfront, Ahmedabad, Gujarat 380007</t>
  </si>
  <si>
    <t>+91 79 2658 0000</t>
  </si>
  <si>
    <t>Academies@adani.com</t>
  </si>
  <si>
    <t>https://www.adanisportsline.com/en/riverfront-sports-complex</t>
  </si>
  <si>
    <t>Juniors (U-8 to U-18), Men &amp; Women</t>
  </si>
  <si>
    <t>Aekum Sports Campus, Near SP Ring Road, SG Highway Perimeter, Ahmedabad, Gujarat 380058</t>
  </si>
  <si>
    <t>info@aekumsports.com</t>
  </si>
  <si>
    <t>All Age Groups &amp; Coach Trainees</t>
  </si>
  <si>
    <t>AITA Official Fact Sheet</t>
  </si>
  <si>
    <t>https://www.google.com/maps/place/?q=place_id:ChIJVdYd_IuEXjkRptCo3NqA9Sc</t>
  </si>
  <si>
    <t>https://www.google.com/maps/place/?q=place_id:ChIJ5aYvrteFXjkRiLSeEL1vIn0</t>
  </si>
  <si>
    <t>https://www.google.com/maps/place/?q=place_id:ChIJ4_ItLaWEXjkRn7lZfdpaT10</t>
  </si>
  <si>
    <t>https://www.google.com/maps/place/?q=place_id:ChIJo7aWnGibXjkR3WL_mPeteDs</t>
  </si>
  <si>
    <t>https://www.google.com/maps/place/?q=place_id:ChIJj6GcD96aXjkR9FEaWMw97dE</t>
  </si>
  <si>
    <t>https://www.google.com/maps/place/?q=place_id:ChIJtVWsRwCdXjkRFmwy4j4isR4</t>
  </si>
  <si>
    <t>https://www.google.com/maps/place/?q=place_id:ChIJERdDukGbXjkRvFWgDvOjLgw</t>
  </si>
  <si>
    <t>https://www.google.com/maps/place/?q=place_id:ChIJaxkGoDIK6GkR7SfMslXVymA</t>
  </si>
  <si>
    <t>https://www.google.com/maps/place/?q=place_id:ChIJUW4R-66cXjkRn0ILQGwBAzk</t>
  </si>
  <si>
    <t>https://www.google.com/maps/place/?q=place_id:ChIJzUF9Wa-EXjkR7jR90kVw-Jo</t>
  </si>
  <si>
    <t>https://www.google.com/maps/place/?q=place_id:ChIJ726EYOOEXjkRseJcpVKQtps</t>
  </si>
  <si>
    <t>https://www.google.com/maps/place/?q=place_id:ChIJQ3pmXfmEXjkR-Bb7XwPS3cc</t>
  </si>
  <si>
    <t>https://www.google.com/maps/place/?q=place_id:ChIJKdpOZ8KdXjkRLD8t1yvKH50</t>
  </si>
  <si>
    <t>https://www.google.com/maps/place/?q=place_id:ChIJVVVVBfWEXjkReZilXhrweHs</t>
  </si>
  <si>
    <t>https://www.google.com/maps/place/?q=place_id:ChIJO4QTASWFXjkRHz_nymkduDI</t>
  </si>
  <si>
    <t>https://www.google.com/maps/place/?q=place_id:ChIJR_pk4TabXjkRAXxlIg7-p78</t>
  </si>
  <si>
    <t>https://www.google.com/maps/place/?q=place_id:ChIJSXVGsiSbXjkRTjpTTSIENdM</t>
  </si>
  <si>
    <t>https://www.google.com/maps/place/?q=place_id:ChIJw7h1hUibXjkRrKnYvZBfXB0</t>
  </si>
  <si>
    <t>https://www.google.com/maps/place/?q=place_id:ChIJm49AiKKcXjkRDKtUOxk2Ijs</t>
  </si>
  <si>
    <t>https://www.google.com/maps/place/?q=place_id:ChIJA1l-C4GbXjkROonLI8yw2Dc</t>
  </si>
  <si>
    <t>https://www.google.com/maps/place/?q=place_id:ChIJpZ8bPPSbXjkR-F0kfBf0hi4</t>
  </si>
  <si>
    <t>https://www.google.com/maps/place/?q=place_id:ChIJEfObjQubXjkRpzd0Z60S8gI</t>
  </si>
  <si>
    <t>https://www.google.com/maps/place/?q=place_id:ChIJGYNEkYebXjkRZhJ6Y4V-hLo</t>
  </si>
  <si>
    <t>https://www.google.com/maps/place/?q=place_id:ChIJnysV1U6bXjkR2TCqXW9un6M</t>
  </si>
  <si>
    <t>https://www.google.com/maps/place/?q=place_id:ChIJXU05BF-bXjkRhMXnW8C-7QQ</t>
  </si>
  <si>
    <t>https://www.google.com/maps/place/?q=place_id:ChIJySLtQgCDXjkRVTj9_ED49pU</t>
  </si>
  <si>
    <t>https://www.google.com/maps/place/?q=place_id:ChIJ9Q0VrNadXjkRmXDeo4CXCXo</t>
  </si>
  <si>
    <t>https://www.google.com/maps/place/?q=place_id:ChIJsyhkVueDXjkR8slNrMWcQ9M</t>
  </si>
  <si>
    <t>https://www.google.com/maps/place/?q=place_id:ChIJG6aZFh6DXjkRYTc2ioMcUiM</t>
  </si>
  <si>
    <t>https://www.google.com/maps/place/?q=place_id:ChIJ0doDOOSDXjkRnXV7p2FwTqE</t>
  </si>
  <si>
    <t>https://www.google.com/maps/place/?q=place_id:ChIJR5EAxUODXjkRtpU-_qQW9pM</t>
  </si>
  <si>
    <t>https://www.google.com/maps/place/?q=place_id:ChIJrzB02ZqDXjkRS_-ICBfLbCs</t>
  </si>
  <si>
    <t>https://www.google.com/maps/place/?q=place_id:ChIJxTfCX7WDXjkRrJupSupG0PU</t>
  </si>
  <si>
    <t>https://www.google.com/maps/place/?q=place_id:ChIJGyv28-SDXjkRaUP84eJ4Qts</t>
  </si>
  <si>
    <t>https://www.google.com/maps/place/?q=place_id:ChIJEdOtK4ODXjkRU7tkU1n128M</t>
  </si>
  <si>
    <t>https://www.google.com/maps/place/?q=place_id:ChIJRdgugYeDXjkRfJmMVhaxs2Y</t>
  </si>
  <si>
    <t>https://www.google.com/maps/place/?q=place_id:ChIJ1fJjqUaDXjkRR3nZAVAcLNM</t>
  </si>
  <si>
    <t>https://www.google.com/maps/place/?q=place_id:ChIJV51YfuSDXjkRBUwMmPXYsrI</t>
  </si>
  <si>
    <t>https://www.google.com/maps/place/?q=place_id:ChIJe6k3xNSDXjkRH88zCjUNIB4</t>
  </si>
  <si>
    <t>https://www.google.com/maps/place/?q=place_id:ChIJZ7EI7KSHXjkRkZUICPjyiMA</t>
  </si>
  <si>
    <t>https://www.google.com/maps/place/?q=place_id:ChIJNeblVd-GXjkRvPyG1yJhpFM</t>
  </si>
  <si>
    <t>https://www.google.com/maps/place/?q=place_id:ChIJY4lkvruGXjkRL39OrX10bDA</t>
  </si>
  <si>
    <t>https://www.google.com/maps/place/?q=place_id:ChIJbQSDDkqFXjkR0WgTei-3JYw</t>
  </si>
  <si>
    <t>https://www.google.com/maps/place/?q=place_id:ChIJVVLDFzCHXjkRRBael7RhUag</t>
  </si>
  <si>
    <t>https://www.google.com/maps/place/?q=place_id:ChIJp-4Ef5KFXjkRtF2knApv91g</t>
  </si>
  <si>
    <t>https://www.google.com/maps/place/?q=place_id:ChIJtQ6cKgCbXjkR9oIgtAIjyUo</t>
  </si>
  <si>
    <t>https://www.google.com/maps/place/?q=place_id:ChIJj8kh9u6FXjkRYM-l-twxXiU</t>
  </si>
  <si>
    <t>https://www.google.com/maps/place/?q=place_id:ChIJR_J_nN-EXjkRBKzzviu7j74</t>
  </si>
  <si>
    <t>https://www.google.com/maps/place/?q=place_id:ChIJVVVVlZybXjkRM9GCm8DpjCI</t>
  </si>
  <si>
    <t>https://www.google.com/maps/place/?q=place_id:ChIJn32vgHybXjkR9Vjgq9dxarI</t>
  </si>
  <si>
    <t>https://www.google.com/maps/place/?q=place_id:ChIJ2RUnyRaGXjkRfEfMenk7p44</t>
  </si>
  <si>
    <t>https://www.google.com/maps/place/?q=place_id:ChIJzROadgCDXjkRn8unFxdnKZI</t>
  </si>
  <si>
    <t>https://www.google.com/maps/place/?q=place_id:ChIJwW_1mFCDXjkRwb8D0B86Ra0</t>
  </si>
  <si>
    <t>https://www.google.com/maps/place/?q=place_id:ChIJc1J-g8qDXjkRXJc-WvufGw4</t>
  </si>
  <si>
    <t>https://www.google.com/maps/place/?q=place_id:ChIJMSVHt_uEXjkRFxMlxyg5CqA</t>
  </si>
  <si>
    <t>https://www.google.com/maps/place/?q=place_id:ChIJiZDMOFaEXjkRdExjOn_ZEX0</t>
  </si>
  <si>
    <t>https://www.google.com/maps/place/?q=place_id:ChIJuaR2eWqDXjkRORpU1JzZvGQ</t>
  </si>
  <si>
    <t>https://www.google.com/maps/place/?q=place_id:ChIJu-zh386FXjkRSe3b7S2DC-c</t>
  </si>
  <si>
    <t>https://www.google.com/maps/place/?q=place_id:ChIJWbi-TnWGXjkRmd_OqMCJ2No</t>
  </si>
  <si>
    <t>https://www.google.com/maps/place/?q=place_id:ChIJq90dmFGEXjkREzVVC1ewybM</t>
  </si>
  <si>
    <t>https://www.google.com/maps/place/?q=place_id:ChIJZ9ybcMSFXjkRyK6SLeu8f4Y</t>
  </si>
  <si>
    <t>https://www.google.com/maps/place/?q=place_id:ChIJt9kie_iDXjkRuc89GaHfZO4</t>
  </si>
  <si>
    <t>https://www.google.com/maps/place/?q=place_id:ChIJKR5q2yKFXjkR2QCTrPJjFyg</t>
  </si>
  <si>
    <t>https://www.google.com/maps/place/?q=place_id:ChIJKR1rrouEXjkRceBsiuClM68</t>
  </si>
  <si>
    <t>https://www.google.com/maps/place/?q=place_id:ChIJVXQiY1yEXjkRa_XgwcfS_AI</t>
  </si>
  <si>
    <t>https://www.google.com/maps/place/?q=place_id:ChIJhcqxxu-HXjkRaMlQrFnvlwc</t>
  </si>
  <si>
    <t>https://www.google.com/maps/place/?q=place_id:ChIJQ7HlCfmGXjkRkvbulBccg5k</t>
  </si>
  <si>
    <t>https://www.google.com/maps/place/?q=place_id:ChIJCSh78TKbXjkRCSM9bJVY-9M</t>
  </si>
  <si>
    <t>https://www.google.com/maps/place/?q=place_id:ChIJqS6EFHSDXjkRBUAuf_FOx9Q</t>
  </si>
  <si>
    <t>https://www.google.com/maps/place/?q=place_id:ChIJE1TPBICDXjkRObhPoZUw09s</t>
  </si>
  <si>
    <t>https://www.google.com/maps/place/?q=place_id:ChIJNZZqSwCbXjkRmPDuYp28h6U</t>
  </si>
  <si>
    <t>https://www.google.com/maps/place/?q=place_id:ChIJk5uBjN6aXjkR3XFSwrafzrQ</t>
  </si>
  <si>
    <t>https://www.google.com/maps/place/?q=place_id:ChIJYVU5fA0oXDkRltuCUVUCjGU</t>
  </si>
  <si>
    <t>https://www.google.com/maps/place/?q=place_id:ChIJ3xYrwOyDXjkRl_FoSMIaBg0</t>
  </si>
  <si>
    <t>https://www.google.com/maps/place/?q=place_id:ChIJJ5i0azOEXjkRS__AKyZh6EM</t>
  </si>
  <si>
    <t>https://www.google.com/maps/place/?q=place_id:ChIJjSFq4CeEXjkRY1_3ER_1JaY</t>
  </si>
  <si>
    <t>https://www.google.com/maps/place/?q=place_id:ChIJ76xM9OecXjkRqfs6k9Bu3F0</t>
  </si>
  <si>
    <t>https://www.google.com/maps/place/?q=place_id:ChIJ-XyF91WEXjkR2rIFHMGydLs</t>
  </si>
  <si>
    <t>https://www.google.com/maps/place/?q=place_id:ChIJVVVVlQyEXjkRVHswlvfCt1c</t>
  </si>
  <si>
    <t>https://www.google.com/maps/place/?q=place_id:ChIJVVVVlQyEXjkRQ2-HXgQpkhw</t>
  </si>
  <si>
    <t>https://www.google.com/maps/place/?q=place_id:ChIJuZcVpD6FXjkRWdrDZdoNInU</t>
  </si>
  <si>
    <t>https://www.google.com/maps/place/?q=place_id:ChIJ1TfFbFiaXjkRMcV5Xd4qR_E</t>
  </si>
  <si>
    <t>https://www.google.com/maps/place/?q=place_id:ChIJ449aEX6DXjkRgqXiVzCVETo</t>
  </si>
  <si>
    <t>https://www.google.com/maps/place/?q=place_id:ChIJGZk60cubXjkRUT2lvpwnMFs</t>
  </si>
  <si>
    <t>https://www.google.com/maps/place/?q=place_id:ChIJo58-iRmFXjkRJzk003q5P7c</t>
  </si>
  <si>
    <t>https://www.google.com/maps/place/?q=place_id:ChIJxzNMlXeHXjkRAGx6UfWVD98</t>
  </si>
  <si>
    <t>https://www.google.com/maps/place/?q=place_id:ChIJ5_ZLOE-HXjkRefT8VwokSwY</t>
  </si>
  <si>
    <t>https://www.google.com/maps/place/?q=place_id:ChIJO7TYaeLzQTkR-6HSPFPUSWk</t>
  </si>
  <si>
    <t>https://www.google.com/maps/place/?q=place_id:ChIJj5f6Pj-dXjkR-DAXQODIGxI</t>
  </si>
  <si>
    <t>https://www.google.com/maps/place/?q=place_id:ChIJ9Xjtc7ODXjkR_EvuOaXYLHg</t>
  </si>
  <si>
    <t>https://www.google.com/maps/place/?q=place_id:ChIJTf9VAVGbXjkRykkZTz-J4zE</t>
  </si>
  <si>
    <t>https://www.google.com/maps/place/?q=place_id:ChIJZXzAolyFXjkR5OtjSBFoCos</t>
  </si>
  <si>
    <t>https://www.google.com/maps/place/?q=place_id:ChIJ_SFaCM6DXjkRwDrM8hEwnMQ</t>
  </si>
  <si>
    <t>https://www.google.com/maps/place/?q=place_id:ChIJWUrcDTGFXjkRzJT6w9Keqds</t>
  </si>
  <si>
    <t>https://www.google.com/maps/place/?q=place_id:ChIJ9caRTqyDXjkRvoduPYiITjY</t>
  </si>
  <si>
    <t>https://www.google.com/maps/place/?q=place_id:ChIJCVADxY2DXjkRFQCy860Z_Io</t>
  </si>
  <si>
    <t>https://www.google.com/maps/place/?q=place_id:ChIJs_Rg9uqDXjkR3NHDoyZLV4Q</t>
  </si>
  <si>
    <t>https://www.google.com/maps/place/?q=place_id:ChIJN-KrpsaDXjkRAPl7FGV8m2I</t>
  </si>
  <si>
    <t>https://www.google.com/maps/place/?q=place_id:ChIJr6AN15qHXjkRGZFlb0ujISQ</t>
  </si>
  <si>
    <t>https://www.google.com/maps/place/?q=place_id:ChIJyRjeUQCHXjkRPQJiFwCdYP8</t>
  </si>
  <si>
    <t>https://www.google.com/maps/place/?q=place_id:ChIJm1REAACFXjkRHAqxkwz7M10</t>
  </si>
  <si>
    <t>https://www.google.com/maps/place/?q=place_id:ChIJ3wNL7VaHXjkRGDqBYB5sDns</t>
  </si>
  <si>
    <t>https://www.google.com/maps/place/?q=place_id:ChIJWaLOtS6HXjkRr2WeMzwnr2k</t>
  </si>
  <si>
    <t>https://www.google.com/maps/place/?q=place_id:ChIJd7nUof-GXjkRN3gkG2D1ZRc</t>
  </si>
  <si>
    <t>https://www.google.com/maps/place/?q=place_id:ChIJGb-kK0abXjkRQ4g_zQB2Wjo</t>
  </si>
  <si>
    <t>https://www.google.com/maps/place/?q=place_id:ChIJGYpUhNebXjkRrlT7xcCfhdU</t>
  </si>
  <si>
    <t>https://www.google.com/maps/place/?q=place_id:ChIJJcCELY2bXjkRMeL_oldnmCI</t>
  </si>
  <si>
    <t>https://www.google.com/maps/place/?q=place_id:ChIJYX5KuiObXjkRfFu0TPe9r7s</t>
  </si>
  <si>
    <t>https://www.google.com/maps/place/?q=place_id:ChIJY8SzGKubXjkR8PVVvHBc6Go</t>
  </si>
  <si>
    <t>https://www.google.com/maps/place/?q=place_id:ChIJjYW-ViSbXjkRHCeMi-Xc5JU</t>
  </si>
  <si>
    <t>https://www.google.com/maps/place/?q=place_id:ChIJjwq8yfmDXjkRPTKbwRIxECE</t>
  </si>
  <si>
    <t>https://www.google.com/maps/place/?q=place_id:ChIJBY75GQCDXjkR40xARdtdVVE</t>
  </si>
  <si>
    <t>https://www.google.com/maps/place/?q=place_id:ChIJfR5LO6qDXjkRXo2YpqqCfYU</t>
  </si>
  <si>
    <t>https://www.google.com/maps/place/?q=place_id:ChIJzU6Jp5qEXjkRMf8G7mJ7HkE</t>
  </si>
  <si>
    <t>https://www.google.com/maps/place/?q=place_id:ChIJCw2uynSGXjkRVFjDa-8UHk0</t>
  </si>
  <si>
    <t>https://www.google.com/maps/place/?q=place_id:ChIJ4WPcrjyHXjkRRl7_JXXldto</t>
  </si>
  <si>
    <t>Court Facility Type</t>
  </si>
  <si>
    <t>D's Academy For Sports</t>
  </si>
  <si>
    <t>Volleyball</t>
  </si>
  <si>
    <t>Ground - Prakash Higher Secondary School, Opposite Sandesh Press Road, Bodakdev, Ahmedabad, Gujarat 380054</t>
  </si>
  <si>
    <t>+91 90819 99122</t>
  </si>
  <si>
    <t>dsacademyforsports@gmail.com</t>
  </si>
  <si>
    <t>http://www.dsacademyforsports.com/</t>
  </si>
  <si>
    <t>https://www.instagram.com/dsacademyforsports</t>
  </si>
  <si>
    <t>Mon, Wed, Fri: 5:15 PM - 6:30 PM; Tue, Thu: 5:30 PM - 7:00 PM; Sat-Sun: 7:00 AM - 9:15 AM</t>
  </si>
  <si>
    <t>Outdoor Hard Court</t>
  </si>
  <si>
    <t>11 years and above</t>
  </si>
  <si>
    <t>Beginner, Intermediate, Advanced, Professional</t>
  </si>
  <si>
    <t>Sheth C N Vidyavihar Campus, Sheth Mangaldas Road, Ambawadi Bazar, Ambawadi, Ahmedabad, Gujarat 380006</t>
  </si>
  <si>
    <t>Monday to Friday: 7:00 AM - 8:30 AM &amp; 5:00 PM - 6:30 PM</t>
  </si>
  <si>
    <t>Children &amp; Youth (Up to 16 years)</t>
  </si>
  <si>
    <t>Beginner, Intermediate, Advanced</t>
  </si>
  <si>
    <t>Gate No. 5, Delhi Public School Bopal, Railway Crossing, Bopal, Ahmedabad, Gujarat 380058</t>
  </si>
  <si>
    <t>Monday to Sunday: 6:00 AM - 8:00 PM</t>
  </si>
  <si>
    <t>Children &amp; Youth (Under 17 &amp; Open)</t>
  </si>
  <si>
    <t>Shanti Asiatic School, Off S.P. Ring Road, Behind Applewoods Township, Shela, Bopal, Ahmedabad, Gujarat 380058</t>
  </si>
  <si>
    <t>Monday to Saturday: 4:30 PM - 9:00 PM</t>
  </si>
  <si>
    <t>Ahmedabad Sports Academy - Satellite</t>
  </si>
  <si>
    <t>3rd Floor, Aangan Banquet, Opposite Akruti Heights, Satellite, Jodhpur Village, Ahmedabad, Gujarat 380051</t>
  </si>
  <si>
    <t>Monday to Saturday: 6:00 AM - 10:00 PM</t>
  </si>
  <si>
    <t>Indoor Court</t>
  </si>
  <si>
    <t>Ahmedabad Sports Academy - Tragad</t>
  </si>
  <si>
    <t>Dutt Parisar, Near H3 World School, Tragad Gam Road, Tragad, Ahmedabad, Gujarat 382424</t>
  </si>
  <si>
    <t>Tragad</t>
  </si>
  <si>
    <t>Monday to Saturday: 6:00 AM - 9:00 AM, 4:00 PM - 8:00 PM</t>
  </si>
  <si>
    <t>Tulip Bungalow Road, Near Enigma Towers, Thaltej, Ahmedabad, Gujarat 380054</t>
  </si>
  <si>
    <t>Monday to Saturday: 7:00 AM - 12:00 PM, 2:00 PM - 7:45 PM</t>
  </si>
  <si>
    <t>Beginner, Intermediate</t>
  </si>
  <si>
    <t>https://playo.co/venues/thaltej-ahmedabad/eklavya-sports-academy-thaltej-ahmedabad</t>
  </si>
  <si>
    <t>Gate No - 3, near Vardan Tower, beside Swanik Arcade, Nandanvan, Pragatinagar, Naranpura, Ahmedabad, Gujarat 380013</t>
  </si>
  <si>
    <t>https://maps.google.com/?cid=9680572886756625758</t>
  </si>
  <si>
    <t>Monday - Sunday: 06:00 AM - 09:00 PM</t>
  </si>
  <si>
    <t>https://maps.google.com/?cid=6238692631520627939</t>
  </si>
  <si>
    <t>Monday - Sunday: Open Daily</t>
  </si>
  <si>
    <t>Beginner</t>
  </si>
  <si>
    <t>Savvy Swaraaj Township, Opposite Godrej Garden City, New SG Road, Gota, Ahmedabad, Gujarat 382470</t>
  </si>
  <si>
    <t>Monday - Sunday: 6:00 AM - 10:00 PM</t>
  </si>
  <si>
    <t>Shyam Satya Bungalows B/H, ATM Mall, Patel Farm, Ananya School Lane, Chandkheda, Ahmedabad, Gujarat 382421</t>
  </si>
  <si>
    <t>https://maps.google.com/?cid=15669389957388060846</t>
  </si>
  <si>
    <t>11, Murlidhar Party Plot Road Near Silver Homes, In lane of New Mac Donald, Science City, Sola, Ahmedabad, Gujarat 380059</t>
  </si>
  <si>
    <t>https://maps.google.com/?cid=9246101912440926361</t>
  </si>
  <si>
    <t>Huddle Arena / Elite Sports Academy</t>
  </si>
  <si>
    <t>+91 72278 90684</t>
  </si>
  <si>
    <t>http://huddle.co.in/</t>
  </si>
  <si>
    <t>Monday - Sunday: 6:00 AM - 11:00 PM</t>
  </si>
  <si>
    <t>Sand / Beach Volleyball</t>
  </si>
  <si>
    <t>Vastral Sports Complex (AMC Sports Complex)</t>
  </si>
  <si>
    <t>Galaxy Road, Near Vastral Metro Station, Vastral, Ahmedabad, Gujarat 382418</t>
  </si>
  <si>
    <t>6 years and above</t>
  </si>
  <si>
    <t>Sports Authority Of Gujarat Sports Complex (Nikol)</t>
  </si>
  <si>
    <t>Ghanshyam Villa Society, Nikol-Naroda Road, New Naroda, Nikol, Ahmedabad, Gujarat 382345</t>
  </si>
  <si>
    <t>https://sports.gujarat.gov.in/</t>
  </si>
  <si>
    <t>https://www.instagram.com/sportsauthorityofgujarat/</t>
  </si>
  <si>
    <t>Monday - Saturday: 06:00 AM - 08:00 PM</t>
  </si>
  <si>
    <t>8 years and above</t>
  </si>
  <si>
    <t>Intermediate, Advanced</t>
  </si>
  <si>
    <t>District Sports Complex, Khokhra (Sports Authority of Gujarat)</t>
  </si>
  <si>
    <t>Khokhra Circle, Opposite Rukshmani Ben Hospital, Maninagar East, Khokhra, Ahmedabad, Gujarat 380008</t>
  </si>
  <si>
    <t>+91 79 2216 1122</t>
  </si>
  <si>
    <t>dsdo.ahmedabad@gmail.com</t>
  </si>
  <si>
    <t>Monday - Saturday: 06:30 AM - 07:30 PM</t>
  </si>
  <si>
    <t>Under-14 to Seniors</t>
  </si>
  <si>
    <t>Intermediate, Advanced, Professional</t>
  </si>
  <si>
    <t>EKA Club / TransStadia Sports Academy</t>
  </si>
  <si>
    <t>Opposite Kankaria Lake Gate No. 3, Kankaria Road, Maninagar, Ahmedabad, Gujarat 380022</t>
  </si>
  <si>
    <t>https://ekaclub.net/</t>
  </si>
  <si>
    <t>https://www.instagram.com/ekaclubahmedabad/</t>
  </si>
  <si>
    <t>Monday - Sunday: 06:00 AM - 10:00 PM</t>
  </si>
  <si>
    <t>Advanced, Professional</t>
  </si>
  <si>
    <t>Veer Savarkar Sports Complex Naroda (AMC)</t>
  </si>
  <si>
    <t>+91 79 2281 1234</t>
  </si>
  <si>
    <t>Shree Purushottam Sports Arena</t>
  </si>
  <si>
    <t>SSGITS School Campus, Near Shree Swaminarayan Mandir, Railway Crossing, Maninagar, Ahmedabad, Gujarat 380008</t>
  </si>
  <si>
    <t>+91 95102 30860</t>
  </si>
  <si>
    <t>info@ssgits.org</t>
  </si>
  <si>
    <t>https://www.ssgits.org/</t>
  </si>
  <si>
    <t>Monday - Saturday: 08:00 PM - 11:00 PM, Sunday: 06:00 AM - 11:00 PM</t>
  </si>
  <si>
    <t>Under-18 &amp; Open Age</t>
  </si>
  <si>
    <t>https://www.justdial.com/Ahmedabad/Shree-Purushottam-Sports-Arena-Maninagar/079PXX79-XX79-250217200938-Y1A5_BZDET</t>
  </si>
  <si>
    <t>Gujarat University Sports Complex</t>
  </si>
  <si>
    <t>Gujarat University Campus, Navrangpura, Ahmedabad, Gujarat 380009</t>
  </si>
  <si>
    <t>+91 79 2630 0664</t>
  </si>
  <si>
    <t>registrar@gujaratuniversity.ac.in</t>
  </si>
  <si>
    <t>http://www.gujaratuniversity.org.in/web/WebSportsComplex.asp</t>
  </si>
  <si>
    <t>Monday - Saturday: 06:00 AM - 07:00 PM</t>
  </si>
  <si>
    <t>College Students &amp; Open Athletes</t>
  </si>
  <si>
    <t>YP Volleyball Club</t>
  </si>
  <si>
    <t>Opposite Yash Platina, New India Colony, Nava Naroda, Ahmedabad, Gujarat 382330</t>
  </si>
  <si>
    <t>Monday - Sunday: 06:00 AM - 09:00 AM, 05:00 PM - 08:00 PM</t>
  </si>
  <si>
    <t>Intermediate</t>
  </si>
  <si>
    <t>https://www.justdial.com/Ahmedabad/Yp-Volleyball-Club-Opposite-Yash-Platina-Nava-Naroda/079PXX79-XX79-260612223339-T1X3_BZDET</t>
  </si>
  <si>
    <t>Monday - Saturday: 06:00 AM - 09:00 AM, 04:00 PM - 07:00 PM</t>
  </si>
  <si>
    <t>Google Maps Listing - Devsatya sports academy</t>
  </si>
  <si>
    <t>Athletes Sports Academy</t>
  </si>
  <si>
    <t>Saraswati Vidhya Sankul, Nikol Gam Rd, opp. Pancham Mall, Karnavati, Nikol, Ahmedabad, Gujarat 380049</t>
  </si>
  <si>
    <t>+91 97231 90218</t>
  </si>
  <si>
    <t>https://instagram.com/athletes_sports_academy007</t>
  </si>
  <si>
    <t>Sabarmati Riverfront Sports Complex (Volleyball Coaching)</t>
  </si>
  <si>
    <t>Near Rajnagar Society, Paldi, Sabarmati Riverfront West, Ahmedabad, Gujarat 380007</t>
  </si>
  <si>
    <t>Paldi</t>
  </si>
  <si>
    <t>+91 79 2658 0430</t>
  </si>
  <si>
    <t>info@riverfront.org</t>
  </si>
  <si>
    <t>https://bookings.adanisportsline.com/</t>
  </si>
  <si>
    <t>Under-16, Adults</t>
  </si>
  <si>
    <t>Hi5ers Multi Sports Arena</t>
  </si>
  <si>
    <t>Off Sindhu Bhavan Marg, near Dada nu Farm, PRL Colony, Thaltej, Ahmedabad, Gujarat 380059</t>
  </si>
  <si>
    <t>+91 93729 54646</t>
  </si>
  <si>
    <t>Monday to Sunday: 6:00 AM - 11:00 PM</t>
  </si>
  <si>
    <t>https://www.justdial.com/Ahmedabad/Volleyball-Courts-in-Satellite/nct-11605535</t>
  </si>
  <si>
    <t>AES Sports Complex</t>
  </si>
  <si>
    <t>15, 120 Feet Ring Rd, University Area, Navrangpura, Ahmedabad, Gujarat 380009</t>
  </si>
  <si>
    <t>Monday to Saturday: 6:00 AM - 8:00 PM</t>
  </si>
  <si>
    <t>https://www.justdial.com/Ahmedabad/Volleyball-Courts-in-Navrangpura/nct-11605535</t>
  </si>
  <si>
    <t>Gujarat State Volleyball Association (GSVA) Training Centre</t>
  </si>
  <si>
    <t>Gujarat Vidyapith Swimming Pool Campus, Ashram Road, Usmanpura, Ahmedabad, Gujarat 380014</t>
  </si>
  <si>
    <t>Usmanpura</t>
  </si>
  <si>
    <t>+91 98980 01481</t>
  </si>
  <si>
    <t>gsvavolley2011@gmail.com</t>
  </si>
  <si>
    <t>https://volleyballindia.com/</t>
  </si>
  <si>
    <t>Monday-Saturday: 7:00 AM - 10:00 AM, 4:00 PM - 7:00 PM</t>
  </si>
  <si>
    <t>Youth &amp; State Level Players</t>
  </si>
  <si>
    <t>Professional</t>
  </si>
  <si>
    <t>https://volleyballindia.com/PlayersPDF/StateVolleyballUnitPdf</t>
  </si>
  <si>
    <t>World Sports Volleyball Coaching</t>
  </si>
  <si>
    <t>Radhe Party Plot Ground, Ring Road, Near Nikol Police Station, Nikol, Ahmedabad, Gujarat 382350</t>
  </si>
  <si>
    <t>Tuesday-Saturday: 7:00 AM - 9:30 AM, 4:00 PM - 7:00 PM</t>
  </si>
  <si>
    <t>All Ages (Girls &amp; Boys)</t>
  </si>
  <si>
    <t>https://www.facebook.com/WorldSportsGames/</t>
  </si>
  <si>
    <t>Ahmedabad District Volleyball Association (ADVA) Centre</t>
  </si>
  <si>
    <t>District Sports Office / SAG Coaching Complex, Sardar Patel Stadium Campus, Navrangpura, Ahmedabad, Gujarat 380009</t>
  </si>
  <si>
    <t>+91 94284 99088</t>
  </si>
  <si>
    <t>Monday-Saturday: 6:30 AM - 9:30 AM, 4:30 PM - 7:00 PM</t>
  </si>
  <si>
    <t>Under 14, Under 17, Under 19, Senior</t>
  </si>
  <si>
    <t>Sprint Recreation</t>
  </si>
  <si>
    <t>Shilaj Science City Road, Sardar Patel Ring Road, Shilaj, Ahmedabad, Gujarat 380059</t>
  </si>
  <si>
    <t>Shilaj</t>
  </si>
  <si>
    <t>+91 72900 83888</t>
  </si>
  <si>
    <t>https://playo.co/venues/thaltej-ahmedabad/Sprint-Recreation-Thaltej-ahmedabad</t>
  </si>
  <si>
    <t>https://www.google.com/maps/place/?q=place_id:ChIJryJHebSEXjkRdFuq3OtY4dU</t>
  </si>
  <si>
    <t>https://www.google.com/maps/place/?q=place_id:ChIJMV4KzCiDXjkR1Kiq5-p6g7o</t>
  </si>
  <si>
    <t>https://www.google.com/maps/place/?q=place_id:ChIJ_-QtN1ODXjkRrkfiAqfqydk</t>
  </si>
  <si>
    <t>https://www.google.com/maps/place/?q=place_id:ChIJ7b3g_QODXjkRGmEpAaXxSb4</t>
  </si>
  <si>
    <t>https://www.google.com/maps/place/?q=place_id:ChIJY0Dd5UuFXjkR-BKRZUftJtY</t>
  </si>
  <si>
    <t>https://www.google.com/maps/place/?q=place_id:ChIJDWkW7r-FXjkRmkahc-soeHQ</t>
  </si>
  <si>
    <t>https://www.google.com/maps/place/?q=place_id:ChIJxbNwAgCHXjkRmTIk3gA9vbU</t>
  </si>
  <si>
    <t>https://www.google.com/maps/place/?q=place_id:ChIJxZg1abCHXjkRS_IzUTBeg04</t>
  </si>
  <si>
    <t>https://www.google.com/maps/place/?q=place_id:ChIJM4HnIOKFXjkRn0m8Pxi1znk</t>
  </si>
  <si>
    <t>https://www.google.com/maps/place/?q=place_id:ChIJxRa-2wabXjkRJ-FXxeNZBFM</t>
  </si>
  <si>
    <t>https://www.google.com/maps/place/?q=place_id:ChIJ_b_OtJWEXjkRLIN-4_u-wvQ</t>
  </si>
  <si>
    <t>https://www.google.com/maps/place/?q=place_id:ChIJof_QmYmEXjkRXTs_oPW93E4</t>
  </si>
  <si>
    <t>https://www.google.com/maps/place/?q=place_id:ChIJU9kO_8GFXjkRvMhAD25I8YU</t>
  </si>
  <si>
    <t>https://www.google.com/maps/place/?q=place_id:ChIJ-XV_pouEXjkREdPNp8GYYjg</t>
  </si>
  <si>
    <t>https://www.google.com/maps/place/?q=place_id:ChIJWeB-N5CcXjkR_wyi15REU5o</t>
  </si>
  <si>
    <t>Court Size</t>
  </si>
  <si>
    <t>Sabarmati Riverfront Sports Complex - Basketball Academy (Adani Sportsline)</t>
  </si>
  <si>
    <t>Basketball</t>
  </si>
  <si>
    <t>Sabarmati Riverfront Sports Complex, Nr. Rajnagar Society, Paldi, Ahmedabad, Gujarat 380007</t>
  </si>
  <si>
    <t>#ERROR!</t>
  </si>
  <si>
    <t>Monday - Sunday: 6:00 AM - 10:00 AM &amp; 5:00 PM - 9:00 PM</t>
  </si>
  <si>
    <t>Outdoor Hard Court / Synthetic Court</t>
  </si>
  <si>
    <t>Full-Court</t>
  </si>
  <si>
    <t>5+ years, Youth &amp; Performance Squad</t>
  </si>
  <si>
    <t>Beginner / Intermediate / Advanced / Elite</t>
  </si>
  <si>
    <t>Adani Sportsline Official Portal &amp; Google Maps</t>
  </si>
  <si>
    <t>Monday - Saturday: 6:30 AM - 8:30 AM &amp; 4:30 PM - 7:00 PM</t>
  </si>
  <si>
    <t>CN Vidyavihar Official Portal &amp; Google Maps</t>
  </si>
  <si>
    <t>Jugamos Sports Academy (DPS Bopal)</t>
  </si>
  <si>
    <t>Delhi Public School Bopal Campus, Gate No. 5, Railway Crossing, Bopal, Ahmedabad, Gujarat 380058</t>
  </si>
  <si>
    <t>Children &amp; Youth (Under 17 years)</t>
  </si>
  <si>
    <t>Beginner / Intermediate / Advanced / High Performance</t>
  </si>
  <si>
    <t>Jugamos Official Instagram &amp; Google Maps</t>
  </si>
  <si>
    <t>Monday - Saturday: 6:00 AM - 10:00 AM &amp; 4:00 PM - 8:00 PM</t>
  </si>
  <si>
    <t>Playo Directory &amp; Google Maps</t>
  </si>
  <si>
    <t>Indoor Court / Hard Court</t>
  </si>
  <si>
    <t>Full-Court / Half-Court</t>
  </si>
  <si>
    <t>ASA Official Website &amp; Google Maps</t>
  </si>
  <si>
    <t>Monday - Sunday: Open Daily (Morning &amp; Evening Coaching)</t>
  </si>
  <si>
    <t>Concrete Hard Court with Official Linings</t>
  </si>
  <si>
    <t>Google Maps Listing &amp; Reviews</t>
  </si>
  <si>
    <t>https://www.google.com/maps/place/?q=place_id:ChIJS5uO4-qCXjkRFuYBTAM-RUg</t>
  </si>
  <si>
    <t>Monday - Saturday: 6:00 AM - 9:00 AM &amp; 4:00 PM - 7:00 PM</t>
  </si>
  <si>
    <t>6 to 18+ years</t>
  </si>
  <si>
    <t>SGVP Official Sports Portal &amp; YouTube</t>
  </si>
  <si>
    <t>https://www.google.com/maps/place/?q=place_id:ChIJyThNH5mbXjkRC228aTrPlPw</t>
  </si>
  <si>
    <t>Monday - Saturday: 5:00 PM - 8:30 PM</t>
  </si>
  <si>
    <t>Beginner / Intermediate (Adaptive Basketball)</t>
  </si>
  <si>
    <t>Born Athletes Official Website &amp; Google Maps</t>
  </si>
  <si>
    <t>Behind Shyam Satya Bungalows, Patel Farm, Ananya School Lane, Chandkheda, Ahmedabad, Gujarat 382421</t>
  </si>
  <si>
    <t>Special Needs Children &amp; Youth</t>
  </si>
  <si>
    <t>Google Maps Listing &amp; Parent Reviews</t>
  </si>
  <si>
    <t>Monday - Sunday: Daily Club Coaching Hours</t>
  </si>
  <si>
    <t>Youth &amp; Club Members</t>
  </si>
  <si>
    <t>Sports Club Gujarat Official Portal &amp; Google Maps</t>
  </si>
  <si>
    <t>The Grow Sports Official Website &amp; Google Maps</t>
  </si>
  <si>
    <t>Google Maps &amp; Local Directory Listings</t>
  </si>
  <si>
    <t>Google Maps &amp; Justdial Listing</t>
  </si>
  <si>
    <t>Official Instagram Profile &amp; Google Maps</t>
  </si>
  <si>
    <t>Sports Authority Of Gujarat (SAG) Training Centre - Nikol</t>
  </si>
  <si>
    <t>SAG Official Portal &amp; Google Maps</t>
  </si>
  <si>
    <t>Monday - Sunday: 6:00 AM - 9:00 PM</t>
  </si>
  <si>
    <t>AMC Official Portal &amp; Google Maps</t>
  </si>
  <si>
    <t>Spinters Club</t>
  </si>
  <si>
    <t>VIP Rd, South Bopal, Bopal, Ahmedabad, Gujarat 380057</t>
  </si>
  <si>
    <t>https://www.google.com/maps/place/?q=place_id:ChIJY03W5VmbXjkRb7nKIu20Otc</t>
  </si>
  <si>
    <t>Monday - Sunday: Daily Sessions</t>
  </si>
  <si>
    <t>Outdoor Hard Court / Synthetic Turf Court</t>
  </si>
  <si>
    <t>Monday - Sunday: 9:00 AM - 9:00 PM</t>
  </si>
  <si>
    <t>Google Maps Listing &amp; Justdial</t>
  </si>
  <si>
    <t>https://www.google.com/maps/place/?q=place_id:ChIJtTXK5KeDXjkR4t7q9wXNqHg</t>
  </si>
  <si>
    <t>Rising Sports Official Website &amp; Google Maps</t>
  </si>
  <si>
    <t>Monday - Saturday: Scheduled Training Batches</t>
  </si>
  <si>
    <t>Vijayi Bharat Official Website &amp; Google Maps</t>
  </si>
  <si>
    <t>Instagram Profile &amp; Google Maps</t>
  </si>
  <si>
    <t>AES Sports Complex Basketball Coaching</t>
  </si>
  <si>
    <t>Monday - Sunday: 6:00 AM - 6:00 PM</t>
  </si>
  <si>
    <t>Students, Youth &amp; Open</t>
  </si>
  <si>
    <t>Google Maps &amp; Local University Records</t>
  </si>
  <si>
    <t>Gujarat University Basketball Coaching Centre</t>
  </si>
  <si>
    <t>Gujarat University Sports Ground, 132 Feet Ring Rd, University Area, Navrangpura, Ahmedabad, Gujarat 380009</t>
  </si>
  <si>
    <t>Students &amp; Open to Public</t>
  </si>
  <si>
    <t>Gujarat University Portal &amp; Google Maps</t>
  </si>
  <si>
    <t>YMCA International Centre Basketball Coaching</t>
  </si>
  <si>
    <t>YMCA International Centre, SG Highway, Makarba, Ahmedabad, Gujarat 380015</t>
  </si>
  <si>
    <t>https://ymcaic.com/</t>
  </si>
  <si>
    <t>Monday - Sunday: Daily Member &amp; Youth Batches</t>
  </si>
  <si>
    <t>YMCA Official Portal &amp; Google Maps</t>
  </si>
  <si>
    <t>Monday - Saturday: 5:00 PM - 7:30 PM</t>
  </si>
  <si>
    <t>10 years and above</t>
  </si>
  <si>
    <t>D's Academy Official Portal &amp; Google Maps</t>
  </si>
  <si>
    <t>Sabarmati Riverfront Sports Park - Paldi Basketball Centre</t>
  </si>
  <si>
    <t>2H49+8V4, near Rajnagar Society, Paldi, Ahmedabad, Gujarat 380007</t>
  </si>
  <si>
    <t>https://www.google.com/maps/place/?q=place_id:ChIJtWboZYWFXjkRjjQyC4mBtqU</t>
  </si>
  <si>
    <t>Adani Sportsline Booking Portal &amp; Google Maps</t>
  </si>
  <si>
    <t>EKA Club Basketball Coaching</t>
  </si>
  <si>
    <t>Lake Gate 3, Kankaria, Maninagar, Ahmedabad, Gujarat 380022</t>
  </si>
  <si>
    <t>Monday - Sunday: Scheduled Batches</t>
  </si>
  <si>
    <t>EKA Club Official Portal &amp; Google Maps</t>
  </si>
  <si>
    <t>11, Murlidhar Party Plot Road, Near Silver Homes, Science City Road, Sola, Ahmedabad, Gujarat 380059</t>
  </si>
  <si>
    <t>Monday - Saturday: Scheduled Batches</t>
  </si>
  <si>
    <t>Adani Sportsline Basketball Academy - Paldi</t>
  </si>
  <si>
    <t>Near Rajnagar Society, Paldi, Ahmedabad, Gujarat 380007</t>
  </si>
  <si>
    <t>https://www.adanisportsline.com/en/academies</t>
  </si>
  <si>
    <t>Synthetic / Hard Court</t>
  </si>
  <si>
    <t>Beginner / Intermediate / Advanced / Performance Squad</t>
  </si>
  <si>
    <t>Adani Sportsline Portal &amp; Justdial Directory</t>
  </si>
  <si>
    <t>+91 84888 81141</t>
  </si>
  <si>
    <t>+91 79 2630 1919</t>
  </si>
  <si>
    <t>+91 70483 32222</t>
  </si>
  <si>
    <t>Karate Style Taught</t>
  </si>
  <si>
    <t>Black Dragons Karate Academy</t>
  </si>
  <si>
    <t>Karate</t>
  </si>
  <si>
    <t>+91 99047 77706</t>
  </si>
  <si>
    <t>https://www.google.com/maps/place/?q=place_id:ChIJZ27EhfeEXjkRBH0VMrPNKpA</t>
  </si>
  <si>
    <t>Shotokan / Sports Karate / Self-Defence</t>
  </si>
  <si>
    <t>Google Maps &amp; Facebook</t>
  </si>
  <si>
    <t>Black Dragons Karate Academy (Thaltej Branch)</t>
  </si>
  <si>
    <t>https://www.google.com/maps/place/?q=place_id:ChIJx0x_FwCbXjkRS9Bwe4k4IcY</t>
  </si>
  <si>
    <t>Monday to Saturday: 6:00 AM – 8:30 PM</t>
  </si>
  <si>
    <t>Shotokan / Self-Defence / Traditional Karate</t>
  </si>
  <si>
    <t>Beginner to Advanced</t>
  </si>
  <si>
    <t>Shitoryu Karate Sports Academy</t>
  </si>
  <si>
    <t>+91 81280 07305</t>
  </si>
  <si>
    <t>https://www.google.com/maps/place/?q=place_id:ChIJ8bpzl8ybXjkRQVMGTlcC8Fw</t>
  </si>
  <si>
    <t>Monday to Saturday: 5:00 PM – 8:00 PM</t>
  </si>
  <si>
    <t>Shito-Ryu / Sports Karate / Self-Defence</t>
  </si>
  <si>
    <t>Google Maps &amp; Justdial</t>
  </si>
  <si>
    <t>Karate-Do Gojukai India Ahmedabad</t>
  </si>
  <si>
    <t>Dojo</t>
  </si>
  <si>
    <t>+91 96875 22200</t>
  </si>
  <si>
    <t>https://www.ahmedabadkarate.com/</t>
  </si>
  <si>
    <t>https://www.google.com/maps/place/?q=place_id:ChIJSWPnpeCbXjkRvV4yPLl104s</t>
  </si>
  <si>
    <t>Goju-Ryu (Traditional &amp; Sports Karate)</t>
  </si>
  <si>
    <t>Beginner to National/International Tournament Level</t>
  </si>
  <si>
    <t>Champions Martial Art Academy</t>
  </si>
  <si>
    <t>Martial Arts Club</t>
  </si>
  <si>
    <t>+91 83196 26957</t>
  </si>
  <si>
    <t>https://championsmartialart.in/</t>
  </si>
  <si>
    <t>https://www.google.com/maps/place/?q=place_id:ChIJmSH61rmDXjkRYaYf2_iohEo</t>
  </si>
  <si>
    <t>Shotokan Karate / Mixed Martial Arts / Kickboxing</t>
  </si>
  <si>
    <t>Shito-Ryu Sports Karate Association of India</t>
  </si>
  <si>
    <t>+91 98984 67232</t>
  </si>
  <si>
    <t>https://www.instagram.com/sskai_official</t>
  </si>
  <si>
    <t>https://www.google.com/maps/place/?q=place_id:ChIJ09onI0OFXjkRlU47gpWfMzE</t>
  </si>
  <si>
    <t>Monday to Saturday: 5:00 PM – 8:30 PM</t>
  </si>
  <si>
    <t>Shito-Ryu / Sports Karate</t>
  </si>
  <si>
    <t>Google Maps &amp; Instagram</t>
  </si>
  <si>
    <t>Shito Ryu Karate Sports Academy (Vejalpur Branch)</t>
  </si>
  <si>
    <t>Vejalpur</t>
  </si>
  <si>
    <t>+91 99794 86944</t>
  </si>
  <si>
    <t>shitoryukaratesportsacademy@gmail.com</t>
  </si>
  <si>
    <t>https://shitoryukarateacademy.com/</t>
  </si>
  <si>
    <t>https://www.google.com/maps/place/?q=place_id:ChIJfzakCDGbXjkRUlTTh455Xs0</t>
  </si>
  <si>
    <t>Monday to Saturday: 5:30 PM – 8:30 PM</t>
  </si>
  <si>
    <t>Shito-Ryu / Traditional Karate</t>
  </si>
  <si>
    <t>Karate Class Shitoryu Dojo (SKSA)</t>
  </si>
  <si>
    <t>+91 70966 47335</t>
  </si>
  <si>
    <t>https://www.instagram.com/karate.sksa_3282</t>
  </si>
  <si>
    <t>https://www.google.com/maps/place/?q=place_id:ChIJNYtcXC-bXjkRKFh539mRQgU</t>
  </si>
  <si>
    <t>Shito-Ryu / Self-Defence / Yoga</t>
  </si>
  <si>
    <t>Beginner &amp; Intermediate</t>
  </si>
  <si>
    <t>Pro Action MMA Gym of Guru Hemang</t>
  </si>
  <si>
    <t>+91 98330 86986</t>
  </si>
  <si>
    <t>http://www.guruhemang.in/</t>
  </si>
  <si>
    <t>https://www.google.com/maps/place/?q=place_id:ChIJbdVYs8-EXjkRrY1LYLZ7BFU</t>
  </si>
  <si>
    <t>Mixed Martial Arts / Kickboxing / Self-Defence / Karate Techniques</t>
  </si>
  <si>
    <t>NS Karate Academy</t>
  </si>
  <si>
    <t>+91 99242 44001</t>
  </si>
  <si>
    <t>https://www.google.com/maps/place/?q=place_id:ChIJL24WiRqFXjkRtqn_y8DxZdU</t>
  </si>
  <si>
    <t>Monday to Saturday: 6:00 AM – 8:00 PM</t>
  </si>
  <si>
    <t>Shotokan Karate / Judo / Kalaripayattu / Self-Defence</t>
  </si>
  <si>
    <t>Rushiraj Karate Kungfu Federation (Head Office)</t>
  </si>
  <si>
    <t>+91 98243 58718</t>
  </si>
  <si>
    <t>senseirushi@gmail.com</t>
  </si>
  <si>
    <t>http://rkkf.co.in/</t>
  </si>
  <si>
    <t>https://www.instagram.com/rkkf_rkkf/</t>
  </si>
  <si>
    <t>https://www.google.com/maps/place/?q=place_id:ChIJUSX3s2SDXjkRncfQcYYQULI</t>
  </si>
  <si>
    <t>Monday to Saturday: 10:00 AM – 7:00 PM</t>
  </si>
  <si>
    <t>Shotokan Karate / Traditional Karate / Tournament Fight Skills</t>
  </si>
  <si>
    <t>Children, Youth, Adults</t>
  </si>
  <si>
    <t>Beginner to Black Belt / Championship Level</t>
  </si>
  <si>
    <t>Rushiraj Karate Kungfu Federation (Ghatlodiya Branch)</t>
  </si>
  <si>
    <t>Ghatlodiya</t>
  </si>
  <si>
    <t>https://www.google.com/maps/place/?q=place_id:ChIJ9zkAwG6DXjkRFwgbq8nMNK0</t>
  </si>
  <si>
    <t>Shotokan Karate / Traditional Karate</t>
  </si>
  <si>
    <t>Beginner to State / National Level</t>
  </si>
  <si>
    <t>Google Maps &amp; Official Website</t>
  </si>
  <si>
    <t>Aone Taekwondo Club (Korean Karate Classes)</t>
  </si>
  <si>
    <t>+91 98240 00000</t>
  </si>
  <si>
    <t>https://www.google.com/maps/place/?q=place_id:ChIJpcVxJwCFXjkR5c0WC9-MbxU</t>
  </si>
  <si>
    <t>Korean Karate / Taekwondo / Self-Defence</t>
  </si>
  <si>
    <t>Fight Club Academy</t>
  </si>
  <si>
    <t>+91 90166 36434</t>
  </si>
  <si>
    <t>https://www.instagram.com/fightclubahmedabad/</t>
  </si>
  <si>
    <t>https://www.google.com/maps/place/?q=place_id:ChIJTzUHWXedXjkRft8xQIk88e0</t>
  </si>
  <si>
    <t>Monday to Saturday: 6:00 AM – 9:00 PM</t>
  </si>
  <si>
    <t>Karate / Boxing / Kickboxing / Mixed Martial Arts</t>
  </si>
  <si>
    <t>Beginner to Professional</t>
  </si>
  <si>
    <t>Arjun School Of Martial Arts - India</t>
  </si>
  <si>
    <t>+91 98791 92732</t>
  </si>
  <si>
    <t>http://arjunschoolofmartialarts.org/</t>
  </si>
  <si>
    <t>https://www.google.com/maps/place/?q=place_id:ChIJtfpchZubXjkRNbnqZRP81fI</t>
  </si>
  <si>
    <t>Traditional Karate / Martial Arts / Yoga</t>
  </si>
  <si>
    <t>ARK Wado Kai Karate Academy</t>
  </si>
  <si>
    <t>+91 84690 34024</t>
  </si>
  <si>
    <t>https://www.google.com/maps/place/?q=place_id:ChIJzcY-zamDXjkRSIPCuK-PqcM</t>
  </si>
  <si>
    <t>Wado-Kai Karate</t>
  </si>
  <si>
    <t>Champions Martial Arts &amp; Fitness Club (Gota Branch)</t>
  </si>
  <si>
    <t>+91 81680 86094</t>
  </si>
  <si>
    <t>https://www.google.com/maps/place/?q=place_id:ChIJk0uc-J6DXjkRrCFVt2aUgQc</t>
  </si>
  <si>
    <t>Monday to Saturday: 6:00 AM – 9:00 PM; Sunday: Open 24 hours</t>
  </si>
  <si>
    <t>Karate for Kids / MMA / Self-Defense</t>
  </si>
  <si>
    <t>Beginner to Competition Level</t>
  </si>
  <si>
    <t>The Karate Academy</t>
  </si>
  <si>
    <t>+91 98256 56720</t>
  </si>
  <si>
    <t>https://www.google.com/maps/place/?q=place_id:ChIJ-8jDoJKDXjkRQu_Ca02XImQ</t>
  </si>
  <si>
    <t>Monday to Friday: 6:00 PM – 7:00 PM; Saturday &amp; Sunday: Closed</t>
  </si>
  <si>
    <t>Shotokan Karate (NASKA)</t>
  </si>
  <si>
    <t>Beginner to Intermediate</t>
  </si>
  <si>
    <t>Angel Martial Arts Academy (Gota Branch)</t>
  </si>
  <si>
    <t>+91 98980 08871</t>
  </si>
  <si>
    <t>amabharat4@gmail.com</t>
  </si>
  <si>
    <t>http://imkarateka.com/</t>
  </si>
  <si>
    <t>https://www.google.com/maps/place/?q=place_id:ChIJIQlLOJKDXjkR2-BxmlKE7Ms</t>
  </si>
  <si>
    <t>Shotokan Karate (NSKA India)</t>
  </si>
  <si>
    <t>Global Martial Arts Academy</t>
  </si>
  <si>
    <t>+91 83779 51291</t>
  </si>
  <si>
    <t>https://www.google.com/maps/place/?q=place_id:ChIJzdC66kKDXjkR_zzh0Lw96lA</t>
  </si>
  <si>
    <t>Monday to Saturday: 6:00 AM – 9:30 PM; Sunday: Closed</t>
  </si>
  <si>
    <t>Traditional Karate &amp; Self Defense</t>
  </si>
  <si>
    <t>Krrish Martial Arts Academy (Jagatpur Branch)</t>
  </si>
  <si>
    <t>+91 99742 75182</t>
  </si>
  <si>
    <t>https://www.google.com/maps/place/?q=place_id:ChIJaWqP1aKDXjkRUzQM8JUUnTo</t>
  </si>
  <si>
    <t>Karate &amp; Taekwondo</t>
  </si>
  <si>
    <t>Kids &amp; Children</t>
  </si>
  <si>
    <t>Krrish Martial Arts Academy (Sola Branch)</t>
  </si>
  <si>
    <t>+91 96240 49778</t>
  </si>
  <si>
    <t>https://www.google.com/maps/place/?q=place_id:ChIJ817k146DXjkRGhgG1u9ZqDE</t>
  </si>
  <si>
    <t>Karate &amp; Self Defense</t>
  </si>
  <si>
    <t>Krrish Martial Arts Academy (Shilaj Branch)</t>
  </si>
  <si>
    <t>https://www.google.com/maps/place/?q=place_id:ChIJ5wBE1F-bXjkRWCVEIP5wexo</t>
  </si>
  <si>
    <t>Monday to Saturday: 4:30 PM – 7:30 PM</t>
  </si>
  <si>
    <t>Z.S. Karate Academy</t>
  </si>
  <si>
    <t>https://www.google.com/maps/place/?q=place_id:ChIJQeRJWACbXjkRr1zgj8FLnnc</t>
  </si>
  <si>
    <t>Monday to Saturday: 5:00 PM – 8:00 PM; Sunday: Closed</t>
  </si>
  <si>
    <t>Karate / Self Defense</t>
  </si>
  <si>
    <t>+91 98986 07616</t>
  </si>
  <si>
    <t>Traditional Karate (KIO Affiliated)</t>
  </si>
  <si>
    <t>Google Maps &amp; KIO Directory</t>
  </si>
  <si>
    <t>Angel Martial Arts Academy (Chandkheda Branch)</t>
  </si>
  <si>
    <t>+91 96018 06626</t>
  </si>
  <si>
    <t>https://imkarateka.com/</t>
  </si>
  <si>
    <t>https://www.google.com/maps/place/?q=place_id:ChIJY2tEQ26DXjkRQvp-ukhYIds</t>
  </si>
  <si>
    <t>Shotokan Karate / Taekwondo / Self-Defense</t>
  </si>
  <si>
    <t>Angel Martial Arts Academy (New CG Road Branch)</t>
  </si>
  <si>
    <t>https://www.google.com/maps/place/?q=place_id:ChIJL4LvDAODXjkR1wtDozUFyyM</t>
  </si>
  <si>
    <t>Shotokan Karate / Self-Defense</t>
  </si>
  <si>
    <t>Shotokan Karate Mojo - Setu Square</t>
  </si>
  <si>
    <t>+91 81600 12388</t>
  </si>
  <si>
    <t>http://shotokankaratemojo.com/</t>
  </si>
  <si>
    <t>https://www.google.com/maps/place/?q=place_id:ChIJHSUdmbmDXjkRxAoluPvrFCQ</t>
  </si>
  <si>
    <t>Shotokan Karate (KAI / WKF Affiliated)</t>
  </si>
  <si>
    <t>Above 5 Years to Adults</t>
  </si>
  <si>
    <t>Yakshat Academy of Martial Art (Chandkheda Branch)</t>
  </si>
  <si>
    <t>+91 98257 30080</t>
  </si>
  <si>
    <t>https://www.google.com/maps/place/?q=place_id:ChIJFfVhm_WDXjkRyD9AdkVtlLc</t>
  </si>
  <si>
    <t>Beginner to National/International Level</t>
  </si>
  <si>
    <t>Angel Martial Arts Academy (Motera Branch)</t>
  </si>
  <si>
    <t>https://www.google.com/maps/place/?q=place_id:ChIJaW957t-DXjkRMKvNj1aMj3I</t>
  </si>
  <si>
    <t>Shotokan Karate / Physical Fitness</t>
  </si>
  <si>
    <t>Xtorm Martial Arts &amp; Fitness Center</t>
  </si>
  <si>
    <t>+91 95589 34412</t>
  </si>
  <si>
    <t>https://www.google.com/maps/place/?q=place_id:ChIJfQqX8meDXjkRnMnVNssxBkM</t>
  </si>
  <si>
    <t>Karate / Martial Arts / Fitness &amp; Self-Defense</t>
  </si>
  <si>
    <t>OSSKI Karate Classes</t>
  </si>
  <si>
    <t>+91 98250 99999</t>
  </si>
  <si>
    <t>https://www.google.com/maps/place/?q=place_id:ChIJ8-gK19KDXjkRQQTrwSsei50</t>
  </si>
  <si>
    <t>Angel Martial Arts Academy (Sabarmati Branch)</t>
  </si>
  <si>
    <t>https://www.google.com/maps/place/?q=place_id:ChIJRVvWo36HXjkRJKujKZzU6fM</t>
  </si>
  <si>
    <t>Shotokan Karate / Weapons Training</t>
  </si>
  <si>
    <t>Above 6 Years (Boys &amp; Girls)</t>
  </si>
  <si>
    <t>Monday to Saturday: 6:00 PM – 9:00 PM</t>
  </si>
  <si>
    <t>Karate / Martial Arts / Self-Defense</t>
  </si>
  <si>
    <t>Kids</t>
  </si>
  <si>
    <t>Beginner to National Level</t>
  </si>
  <si>
    <t>The Life Dojang</t>
  </si>
  <si>
    <t>+91 84900 39561</t>
  </si>
  <si>
    <t>https://www.google.com/maps/place/?q=place_id:ChIJLXHhituHXjkRLTdejWG_31g</t>
  </si>
  <si>
    <t>Monday to Saturday: 3:30 PM – 8:30 PM</t>
  </si>
  <si>
    <t>Martial Arts / Self-Defense / Combat Skills</t>
  </si>
  <si>
    <t>Shotokan Karate and Yoga Academy</t>
  </si>
  <si>
    <t>+91 98246 15067</t>
  </si>
  <si>
    <t>https://www.google.com/maps/place/?q=place_id:ChIJzbJvn0mHXjkREIFMjUagrNE</t>
  </si>
  <si>
    <t>Shotokan Karate &amp; Yoga</t>
  </si>
  <si>
    <t>Harsh Martial Arts Academy</t>
  </si>
  <si>
    <t>+91 84879 11330</t>
  </si>
  <si>
    <t>https://www.google.com/maps/place/?q=place_id:ChIJZefqtQSFXjkRgaGegwtHmnc</t>
  </si>
  <si>
    <t>Monday to Saturday: 9:00 AM – 9:30 PM</t>
  </si>
  <si>
    <t>Karate / Combat Martial Arts / Street Self-Defense</t>
  </si>
  <si>
    <t>Google Maps &amp; LyfSkills</t>
  </si>
  <si>
    <t>Shiva Life Skills</t>
  </si>
  <si>
    <t>+91 76982 65953</t>
  </si>
  <si>
    <t>https://www.google.com/maps/place/?q=place_id:ChIJN6S7UACBXjkRftVH5ZWyJsU</t>
  </si>
  <si>
    <t>Monday to Sunday: 10:00 AM – 8:00 PM</t>
  </si>
  <si>
    <t>Karate / Adult Self-Defense</t>
  </si>
  <si>
    <t>Ahmedabad Academy Of Martial Arts</t>
  </si>
  <si>
    <t>+91 87808 22088</t>
  </si>
  <si>
    <t>https://www.google.com/maps/place/?q=place_id:ChIJhQZwQyWbXjkRZOl0Y41H0F0</t>
  </si>
  <si>
    <t>Monday to Sunday: 10:00 AM – 9:00 PM</t>
  </si>
  <si>
    <t>Traditional Karate / KungFu / Self-Defense</t>
  </si>
  <si>
    <t>Beginner to Advanced (ISO Certified)</t>
  </si>
  <si>
    <t>Ahmedabad Academy Of Martial Arts (Bhairavanath Branch)</t>
  </si>
  <si>
    <t>https://www.google.com/maps/place/?q=place_id:ChIJaRyDPCeFXjkRkM2OKq8z_zo</t>
  </si>
  <si>
    <t>Traditional Karate / Self-Defense</t>
  </si>
  <si>
    <t>Lionheart Taekwondo &amp; Karate Academy</t>
  </si>
  <si>
    <t>+91 80002 47335</t>
  </si>
  <si>
    <t>http://www.masterlix.com/coach/rushabhsingh_bahel</t>
  </si>
  <si>
    <t>https://www.google.com/maps/place/?q=place_id:ChIJ2YJ0AA6HXjkRpgqaVy2Vi70</t>
  </si>
  <si>
    <t>Monday to Saturday: 8:00 AM – 10:00 PM</t>
  </si>
  <si>
    <t>Karate / Martial Arts / Fighting Skills</t>
  </si>
  <si>
    <t>Google Maps &amp; Masterlix</t>
  </si>
  <si>
    <t>Yakshat Academy of Martial Art (Naranpura Branch)</t>
  </si>
  <si>
    <t>https://www.google.com/maps/place/?q=place_id:ChIJ_59yxGKFXjkRKeveBC9QEL8</t>
  </si>
  <si>
    <t>Traditional Karate (KIO Affiliated) &amp; Yoga</t>
  </si>
  <si>
    <t>Avdesh Yadav Karate Academy</t>
  </si>
  <si>
    <t>Shotokan Karate</t>
  </si>
  <si>
    <t>Nihon Shotokan Karate Association</t>
  </si>
  <si>
    <t>+91 98982 34321</t>
  </si>
  <si>
    <t>Karate Do Federation - Gujarat (KDF State HQ)</t>
  </si>
  <si>
    <t>Memnagar</t>
  </si>
  <si>
    <t>info@karategujarat.org</t>
  </si>
  <si>
    <t>http://karategujarat.org/</t>
  </si>
  <si>
    <t>Monday to Saturday: 10:00 AM – 6:00 PM</t>
  </si>
  <si>
    <t>All WKF Recognized Karate Styles</t>
  </si>
  <si>
    <t>State &amp; National Level</t>
  </si>
  <si>
    <t>Official Federation Website</t>
  </si>
  <si>
    <t>Knight Rider Martial Art's Academy</t>
  </si>
  <si>
    <t>+91 63530 78721</t>
  </si>
  <si>
    <t>https://sites.google.com/view/knightrider/home</t>
  </si>
  <si>
    <t>https://www.google.com/maps/place/?q=place_id:ChIJf9c-6KOHXjkRiTgEezgqVLs</t>
  </si>
  <si>
    <t>Traditional Karate / Self-Defense / Yoga</t>
  </si>
  <si>
    <t>Google Maps &amp; Official Site</t>
  </si>
  <si>
    <t>Martial Arts Academy Of India</t>
  </si>
  <si>
    <t>+91 98980 12345</t>
  </si>
  <si>
    <t>Rink Surface Type</t>
  </si>
  <si>
    <t>Skating Discipline Taught</t>
  </si>
  <si>
    <t>Little Champs Skating Classes</t>
  </si>
  <si>
    <t>Skating</t>
  </si>
  <si>
    <t>Jodhpur Village Cross Roads, Near Satellite, Ahmedabad, Gujarat 380051</t>
  </si>
  <si>
    <t>+91 70462 02642</t>
  </si>
  <si>
    <t>https://www.google.com/maps/place/?q=place_id:ChIJgfCVyySDXjkRrB1h3hIMx1U</t>
  </si>
  <si>
    <t>Monday-Saturday: 5:00 PM - 8:00 PM</t>
  </si>
  <si>
    <t>Concrete</t>
  </si>
  <si>
    <t>Inline, Quad/Roller, Speed</t>
  </si>
  <si>
    <t>3 years and above</t>
  </si>
  <si>
    <t>Shrey Skating Coaching Classes</t>
  </si>
  <si>
    <t>D,31-32, Shanti Complex, Sakal Surel, Opp. Suvidha Shopping Center, Vejalpur, Ahmedabad, Gujarat 380051</t>
  </si>
  <si>
    <t>+91 97220 01411</t>
  </si>
  <si>
    <t>https://www.google.com/maps/place/?q=place_id:ChIJ47jE1fObXjkRGX94VCG0EKw</t>
  </si>
  <si>
    <t>Monday-Saturday: 9:00 AM - 5:00 PM</t>
  </si>
  <si>
    <t>3rd Floor, Aangan Banquet, Opp. Akruti Heights, Satellite, Jodhpur Village, Ahmedabad, Gujarat 380051</t>
  </si>
  <si>
    <t>Inline, Quad/Roller</t>
  </si>
  <si>
    <t>Play Ground, Nr. Nirma Vidhya Vihar, Bodakdev, Ahmedabad, Gujarat 380054</t>
  </si>
  <si>
    <t>Monday-Saturday: Morning &amp; Evening Batches</t>
  </si>
  <si>
    <t>Children &amp; Special Needs</t>
  </si>
  <si>
    <t>Skating Rink Thaltej</t>
  </si>
  <si>
    <t>Rink</t>
  </si>
  <si>
    <t>3G4C+MR3, Near Arogyadham, Behind Udgam School, Thaltej, Ahmedabad, Gujarat 380054</t>
  </si>
  <si>
    <t>https://www.google.com/maps/place/?q=place_id:ChIJfedpqNyFXjkR_QbT8fx_s5o</t>
  </si>
  <si>
    <t>Monday-Sunday: Open 24 hours</t>
  </si>
  <si>
    <t>Beginner / Intermediate / Advanced / State &amp; National Level</t>
  </si>
  <si>
    <t>+91 79 2685 0282</t>
  </si>
  <si>
    <t>Shreyas Foundation Skating Rink</t>
  </si>
  <si>
    <t>Manek Baug Rd, Opposite Manekbaug Post Office, Bhudarpura, Ambawadi, Ahmedabad, Gujarat 380015</t>
  </si>
  <si>
    <t>+91 79 3533 2772</t>
  </si>
  <si>
    <t>http://www.shreyasfoundation.in/</t>
  </si>
  <si>
    <t>https://www.google.com/maps/place/?q=place_id:ChIJZYUpRACFXjkRY_v8ua4mchA</t>
  </si>
  <si>
    <t>Monday-Saturday: 7:00 AM - 6:00 PM</t>
  </si>
  <si>
    <t>RK Roller Skating Academy</t>
  </si>
  <si>
    <t>Keshavbaug Society, Opp. Little Leopards Pre School, Sumati Nagar Society, Usmanpura, Navrangpura Area, Ahmedabad, Gujarat 380013</t>
  </si>
  <si>
    <t>+91 95748 22660</t>
  </si>
  <si>
    <t>https://www.google.com/maps/place/?q=place_id:ChIJNUDP0vKFXjkR7WAyJFzNeOs</t>
  </si>
  <si>
    <t>Sundar Nagar, Naranpura, Near Navrangpura, Ahmedabad, Gujarat 380013</t>
  </si>
  <si>
    <t>https://discover.lyfskills.com/listing/26650</t>
  </si>
  <si>
    <t>Monday-Saturday: 5:00 PM - 8:00 PM, Sunday: 7:00 AM - 9:30 AM, 5:00 PM - 8:00 PM</t>
  </si>
  <si>
    <t>Manish Skating (Navrang Sports Academy)</t>
  </si>
  <si>
    <t>Navrang Sports Academy, Navrang Six Road, Behind Navrang School, Navrangpura, Ahmedabad, Gujarat 380013</t>
  </si>
  <si>
    <t>https://www.google.com/maps/search/?api=1&amp;query=Manish+Skating+Navrang+Sports+Academy+Navrangpura+Ahmedabad+Gujarat+380013</t>
  </si>
  <si>
    <t>4 years and above</t>
  </si>
  <si>
    <t>Sulekha Directory</t>
  </si>
  <si>
    <t>King Star Sports Academy</t>
  </si>
  <si>
    <t>Cosmos Castle International School, SG Highway, Prahlad Nagar, Ahmedabad, Gujarat 380015</t>
  </si>
  <si>
    <t>SG Highway / Prahlad Nagar</t>
  </si>
  <si>
    <t>https://www.google.com/maps/place/?q=place_id:ChIJ3RG2If2DXjkR3BIZRjz92G0</t>
  </si>
  <si>
    <t>Monday-Friday: 7:00 AM - 2:00 PM, 5:00 PM - 10:00 PM</t>
  </si>
  <si>
    <t>RSA - Rising Stars Academy</t>
  </si>
  <si>
    <t>DPS - Neelkanth Rd, Bopal, Ahmedabad, Gujarat 380058</t>
  </si>
  <si>
    <t>+91 98242 34663</t>
  </si>
  <si>
    <t>rsa4sports@gmail.com</t>
  </si>
  <si>
    <t>https://rsaindia.co.in/</t>
  </si>
  <si>
    <t>https://www.google.com/maps/place/?q=place_id:ChIJm-pqT4-bXjkRZxQ_3Jxkj88</t>
  </si>
  <si>
    <t>Monday - Saturday: 04:00 PM - 09:00 PM, Sunday: 06:00 AM - 09:00 AM</t>
  </si>
  <si>
    <t>Speed, Inline, Quad/Roller</t>
  </si>
  <si>
    <t>Kids, Students, Adults, Children with special needs</t>
  </si>
  <si>
    <t>HB sports skating academy</t>
  </si>
  <si>
    <t>opp. hall mark, Amidhara Society, Sterling City, Bopal, Ahmedabad, Gujarat 380058</t>
  </si>
  <si>
    <t>+91 97244 55494</t>
  </si>
  <si>
    <t>https://www.google.com/maps/place/?q=place_id:ChIJ835UZxybXjkR5yJjvlOgys0</t>
  </si>
  <si>
    <t>Monday, Wednesday, Friday: 06:00 PM - 07:00 PM</t>
  </si>
  <si>
    <t>https://magicpin.in/Ahmedabad/Bopal/Fitness/Hb-Sports-Skating-Academy/store/19372ab</t>
  </si>
  <si>
    <t>Monday - Saturday: 04:30 PM - 07:00 PM</t>
  </si>
  <si>
    <t>RK SKATING ACADEMY</t>
  </si>
  <si>
    <t>Science City Rd, Panchamrut Bunglows II, Sola, Ahmedabad, Gujarat 380060</t>
  </si>
  <si>
    <t>+91 97145 73981</t>
  </si>
  <si>
    <t>http://rkcoaching.com/</t>
  </si>
  <si>
    <t>https://www.google.com/maps/place/?q=place_id:ChIJvWOPPxydXjkRZYgD7YjMqvQ</t>
  </si>
  <si>
    <t>Tuesday, Thursday, Saturday: 05:00 PM - 07:00 PM</t>
  </si>
  <si>
    <t>RK SPEED SKATING ACADEMY</t>
  </si>
  <si>
    <t>Blooming Campus, Navrang International School, Jagatpur Rd, Godrej Garden City, Jagatpur, Ahmedabad, Gujarat 382470</t>
  </si>
  <si>
    <t>https://www.google.com/maps/place/?q=place_id:ChIJz_K1fR2DXjkRQ26mR9z1bK8</t>
  </si>
  <si>
    <t>Monday, Wednesday, Friday: 05:00 PM - 06:00 PM</t>
  </si>
  <si>
    <t>M S Sports Academy Skating Apollo School</t>
  </si>
  <si>
    <t>Apollo International School, Tragad Rd, Tragad, Chandkheda, Ahmedabad, Gujarat 382470</t>
  </si>
  <si>
    <t>+91 86728 85654</t>
  </si>
  <si>
    <t>https://www.facebook.com/mssports11/</t>
  </si>
  <si>
    <t>https://www.google.com/maps/place/?q=place_id:ChIJzfnDaQCDXjkR8TeVpfHw3II</t>
  </si>
  <si>
    <t>Monday - Friday: 06:00 PM - 08:00 PM</t>
  </si>
  <si>
    <t>1 R/C Appartment Hirani Society, B/H Dharamnagar Post Office, Sabarmati, Ahmedabad, Gujarat 380005</t>
  </si>
  <si>
    <t>http://risingsportsacademy.com/</t>
  </si>
  <si>
    <t>Monday - Saturday: 06:00 AM - 08:30 PM</t>
  </si>
  <si>
    <t>Outdoor Asphalt</t>
  </si>
  <si>
    <t>V2 SPORTS ACADEMY</t>
  </si>
  <si>
    <t>Monday - Sunday: 09:00 AM - 09:00 PM</t>
  </si>
  <si>
    <t>https://magicpin.in/Ahmedabad/Motera/Other/V2-Sports-Academy/store/21520bb</t>
  </si>
  <si>
    <t>Little champs skating classes</t>
  </si>
  <si>
    <t>G-306, Diva Height, Vishwas City-10, Behind Sukan Glory Society, Gota, Ahmedabad, Gujarat 380081</t>
  </si>
  <si>
    <t>https://www.instagram.com/little_champs_skating_classes1/</t>
  </si>
  <si>
    <t>Monday - Sunday: 04:00 PM - 09:00 PM</t>
  </si>
  <si>
    <t>Quad/Roller, Inline, Speed</t>
  </si>
  <si>
    <t>Kids &amp; Beginners</t>
  </si>
  <si>
    <t>https://www.bookmyplayer.com/skating/little-champs-skating-classes-academy-in-ahmedabad-gujarat-aid-3675</t>
  </si>
  <si>
    <t>DPS Skating Rink</t>
  </si>
  <si>
    <t>https://www.google.com/maps/place/?q=place_id:ChIJcYmpFACbXjkR_9pBAg4rNqA</t>
  </si>
  <si>
    <t>Monday - Saturday: 04:00 PM - 09:00 PM</t>
  </si>
  <si>
    <t>Kids, Students, Adults</t>
  </si>
  <si>
    <t>Adani Sportsline Sabarmati Riverfront Skating Rink</t>
  </si>
  <si>
    <t>11, Rajpath Society, Rajnagar Society, Paldi, Ahmedabad, Gujarat 380007</t>
  </si>
  <si>
    <t>https://www.google.com/maps/place/?q=place_id:ChIJKaRJqxuFXjkR7nwkKHjTpd0</t>
  </si>
  <si>
    <t>Monday-Sunday: 6:00 AM – 10:00 AM, 7:00 PM – 9:00 PM</t>
  </si>
  <si>
    <t>Concrete Rink</t>
  </si>
  <si>
    <t>Parvaz Skating Zone</t>
  </si>
  <si>
    <t>The South International School, Dehgam Rd, behind Vitthal Plaza, nr. Sadguru Landmark, Vasant Vihar 2, Nava Naroda, Ahmedabad, Gujarat 382330</t>
  </si>
  <si>
    <t>+91 98794 18419</t>
  </si>
  <si>
    <t>http://www.parvaazskatingzone.blogspot.com/</t>
  </si>
  <si>
    <t>https://www.google.com/maps/place/?q=place_id:ChIJQwdDsBqHXjkRcCOLbviNSdk</t>
  </si>
  <si>
    <t>Monday-Saturday: 6:00 PM – 7:00 PM</t>
  </si>
  <si>
    <t>Outdoor Concrete Rink</t>
  </si>
  <si>
    <t>3+ years</t>
  </si>
  <si>
    <t>Mango Cinema, Bhakti Circle Rd, Opp. Shivanta Castel, near AMC Party Plot, New India Colony, Nikol, Ahmedabad, Gujarat 382330</t>
  </si>
  <si>
    <t>Monday-Sunday: Morning &amp; Evening Sessions</t>
  </si>
  <si>
    <t>Umiya Circle, Hevan Party Plot, Nikol, Chhotalal Cross Rd, near Dmart, New Colony, Ahmedabad, Gujarat 380049</t>
  </si>
  <si>
    <t>Monday-Saturday: Evening Sessions</t>
  </si>
  <si>
    <t>Quad/Roller, Inline</t>
  </si>
  <si>
    <t>Monday-Saturday: Evening Batches</t>
  </si>
  <si>
    <t>Quad/Roller, Speed, Inline</t>
  </si>
  <si>
    <t>Children &amp; Teens</t>
  </si>
  <si>
    <t>DN Nikol Skating Rink</t>
  </si>
  <si>
    <t>1-6, Nikol, Ahmedabad, Gujarat 382415</t>
  </si>
  <si>
    <t>https://www.google.com/maps/place/?q=place_id:ChIJM2FuMgCHXjkR5lEfkcKLdqw</t>
  </si>
  <si>
    <t>Monday-Sunday: Open for Practice</t>
  </si>
  <si>
    <t>Kvr Skating Class</t>
  </si>
  <si>
    <t>Best High School, Madhav Park-1, Pranami Nagar, Maninagar, Ahmedabad, Gujarat 380028</t>
  </si>
  <si>
    <t>+91 63534 08789</t>
  </si>
  <si>
    <t>https://www.google.com/maps/place/?q=place_id:ChIJEcOwPwCHXjkR7Chccs9SM8k</t>
  </si>
  <si>
    <t>Concrete Surface</t>
  </si>
  <si>
    <t>Kids &amp; School Students</t>
  </si>
  <si>
    <t>TM Skating Rink Pritamnagar, Warrior Velodrome</t>
  </si>
  <si>
    <t>Dr Hariprasad Desai Marg, Pritam Nagar, Paldi, Ahmedabad, Gujarat 380006</t>
  </si>
  <si>
    <t>+91 94264 13903</t>
  </si>
  <si>
    <t>https://www.google.com/maps/place/?q=place_id:ChIJKZx1dQiFXjkRljZRD14lfVo</t>
  </si>
  <si>
    <t>Monday-Sunday: Morning &amp; Evening Batches</t>
  </si>
  <si>
    <t>Quad/Roller, Speed</t>
  </si>
  <si>
    <t>Ahmedabad Municipal Skating Court (LG Ground)</t>
  </si>
  <si>
    <t>LG Ground, LG Hospital Rd, Balvatika, Maninagar, Ahmedabad, Gujarat 380008</t>
  </si>
  <si>
    <t>https://www.google.com/maps/place/?q=place_id:ChIJWxsTokeFXjkRw5xOBgm9Df0</t>
  </si>
  <si>
    <t>Children &amp; Beginners</t>
  </si>
  <si>
    <t>Ahmedabad Municipal Skating (Chandra Nagar)</t>
  </si>
  <si>
    <t>Jaindors Mandir, Narayan Nagar Rd, Chandra Nagar, Narayan Nagar, Ahmedabad, Gujarat 380007</t>
  </si>
  <si>
    <t>https://www.google.com/maps/place/?q=place_id:ChIJkz_SCxGFXjkR9_b12Dwqeso</t>
  </si>
  <si>
    <t>Monday-Sunday: 7:00 AM – 11:00 AM, 4:00 PM – 7:00 PM</t>
  </si>
  <si>
    <t>Shree Mukt Jivan Swamibapa Skating Rink</t>
  </si>
  <si>
    <t>140, Samrat Nagar, Ghodasar, Ahmedabad, Gujarat 382443</t>
  </si>
  <si>
    <t>https://www.google.com/maps/place/?q=place_id:ChIJU6yiUgCFXjkRqcOzdnV0spQ</t>
  </si>
  <si>
    <t>Children</t>
  </si>
  <si>
    <t>Vastral Sports Complex Skating Rink</t>
  </si>
  <si>
    <t>Monday-Saturday: Morning &amp; Evening Sessions</t>
  </si>
  <si>
    <t>Monday-Saturday: Morning &amp; Evening Training Sessions</t>
  </si>
  <si>
    <t>Under 14 / Under 17 / Under 19</t>
  </si>
  <si>
    <t>Skating Playground Khodiar Nagar</t>
  </si>
  <si>
    <t>10-14, Khodiar Nagar, Nikol, Ahmedabad, Gujarat 382415</t>
  </si>
  <si>
    <t>https://www.google.com/maps/place/?q=place_id:ChIJkQB3SDWHXjkRDyGMrNr5fZ4</t>
  </si>
  <si>
    <t>Monday-Saturday: 7:00 PM – 9:30 PM, Sunday: Closed</t>
  </si>
  <si>
    <t>Outdoor Concrete Ground</t>
  </si>
  <si>
    <t>Shantivan Skating Rink</t>
  </si>
  <si>
    <t>Prabhudas Thakkar College Rd, Dharmendra Society, Shantivan, Ranna Park, Paldi, Ahmedabad, Gujarat 380007</t>
  </si>
  <si>
    <t>https://www.google.com/maps/place/?q=place_id:ChIJ2apcSAmFXjkRJVYDDflx010</t>
  </si>
  <si>
    <t>ICE Ahmedabad</t>
  </si>
  <si>
    <t>Ellisbridge, Ahmedabad, Gujarat 380006</t>
  </si>
  <si>
    <t>https://discover.lyfskills.com/listing/27142</t>
  </si>
  <si>
    <t>https://www.google.com/maps/place/?q=place_id:ChIJzU3p_Z-FXjkRj7vj4XnYq-w</t>
  </si>
  <si>
    <t>Monday-Saturday: Flexible Batches</t>
  </si>
  <si>
    <t>Kids &amp; Teens</t>
  </si>
  <si>
    <t>C/o Smashers Sports Arena, Nikol Naroda Road, Opp. Nikol D-Mart, Nikol Gam, Ahmedabad, Gujarat 382350</t>
  </si>
  <si>
    <t>Roller Skating, Speed, Inline</t>
  </si>
  <si>
    <t>Children / Youth</t>
  </si>
  <si>
    <t>Super Skater Academy</t>
  </si>
  <si>
    <t>Gopal Chawk, Bapunagar, Ahmedabad, Gujarat 380024</t>
  </si>
  <si>
    <t>Bapunagar</t>
  </si>
  <si>
    <t>https://www.google.com/maps/search/?api=1&amp;query=Super+Skater+Academy+Gopal+Chawk+Bapunagar+Ahmedabad+Gujarat+380024</t>
  </si>
  <si>
    <t>Monday-Saturday: 5:00 PM - 7:30 PM</t>
  </si>
  <si>
    <t>Roller Skating, Quad, Inline</t>
  </si>
  <si>
    <t>Coaching Mode</t>
  </si>
  <si>
    <t>Dhyan Chess Academy</t>
  </si>
  <si>
    <t>Chess</t>
  </si>
  <si>
    <t>304 Devashish Business Park, Above Mocha Cafe, Satellite, Ramdev Nagar, Ahmedabad, Gujarat 380015</t>
  </si>
  <si>
    <t>Satellite / Ramdev Nagar</t>
  </si>
  <si>
    <t>+91 90238 05272 / +91 95740 06242</t>
  </si>
  <si>
    <t>http://www.dhyanchessacademy.com/</t>
  </si>
  <si>
    <t>https://www.facebook.com/dhyan.chess.1/</t>
  </si>
  <si>
    <t>https://maps.google.com/?q=place_id:ChIJZ_uAUsubXjkRy7sLUdSnP5E</t>
  </si>
  <si>
    <t>Mon-Fri: 1:30 PM - 7:00 PM, Sat: 1:30 PM - 5:00 PM, Sun: Closed</t>
  </si>
  <si>
    <t>Hybrid</t>
  </si>
  <si>
    <t>Kids &amp; Adults (4+ years)</t>
  </si>
  <si>
    <t>Beginner / Intermediate / Advanced / FIDE Rated</t>
  </si>
  <si>
    <t>Official Website (http://www.dhyanchessacademy.com/)</t>
  </si>
  <si>
    <t>Champions Chess Academy (Satellite / Jodhpur Branch)</t>
  </si>
  <si>
    <t>B/40, Someshwara 2, Mahabaleshwar Rd, Opp. Sursagar Apartment, Jodhpur Village, Satellite, Ahmedabad, Gujarat 380015</t>
  </si>
  <si>
    <t>+91 99741 75820</t>
  </si>
  <si>
    <t>info@championschessacademy.in</t>
  </si>
  <si>
    <t>https://championschessacademy.in/</t>
  </si>
  <si>
    <t>https://maps.google.com/?q=Champions+Chess+Academy+Satellite+Ahmedabad</t>
  </si>
  <si>
    <t>Mon-Sat: 2:30 PM - 7:30 PM, Sun: Closed</t>
  </si>
  <si>
    <t>Children &amp; Adults (5+ years)</t>
  </si>
  <si>
    <t>Official Website (https://championschessacademy.in/satellite-branche/)</t>
  </si>
  <si>
    <t>Champions Chess Academy (South Bopal &amp; Shela Branch)</t>
  </si>
  <si>
    <t>A-126, Sun Southstreet, Near Bopal Fire Station, Safal Parisar 2 Road, South Bopal, Shela, Ahmedabad, Gujarat 380057</t>
  </si>
  <si>
    <t>South Bopal / Shela</t>
  </si>
  <si>
    <t>+91 92655 97719</t>
  </si>
  <si>
    <t>https://championschessacademy.in/south-bopal-branche/</t>
  </si>
  <si>
    <t>https://maps.google.com/?q=Champions+Chess+Academy+South+Bopal+Ahmedabad</t>
  </si>
  <si>
    <t>Mon-Sat: 4:00 PM - 9:00 PM, Sun: Closed</t>
  </si>
  <si>
    <t>Official Website (https://championschessacademy.in/south-bopal-branche/)</t>
  </si>
  <si>
    <t>Champions Chess Academy (Shilaj / Bopal Branch)</t>
  </si>
  <si>
    <t>EuroKids Pre-School, DPS Bopal Road, Beside Sereno Sparkle, Bopal / Shilaj, Ahmedabad, Gujarat 380059</t>
  </si>
  <si>
    <t>Bopal / Shilaj</t>
  </si>
  <si>
    <t>+91 72658 78744</t>
  </si>
  <si>
    <t>https://maps.google.com/?q=Champions+Chess+Academy+Shilaj+Ahmedabad</t>
  </si>
  <si>
    <t>Mon, Wed, Fri: 5:00 PM - 7:30 PM, Tue, Thu, Sat, Sun: Closed</t>
  </si>
  <si>
    <t>Kids &amp; Juniors</t>
  </si>
  <si>
    <t>Official Website (https://championschessacademy.in/)</t>
  </si>
  <si>
    <t>Champions Chess Academy (Science City Branch)</t>
  </si>
  <si>
    <t>Rangoli Pre-School, Shukan Mall, Aditya Complex, Science City Road, Science City, Ahmedabad, Gujarat 380060</t>
  </si>
  <si>
    <t>+91 97129 70708</t>
  </si>
  <si>
    <t>https://championschessacademy.in/science-city-branch/</t>
  </si>
  <si>
    <t>https://maps.google.com/?q=Champions+Chess+Academy+Science+City+Ahmedabad</t>
  </si>
  <si>
    <t>Tue, Thu, Sat: 5:00 PM - 7:00 PM</t>
  </si>
  <si>
    <t>Offline</t>
  </si>
  <si>
    <t>Children &amp; School Students (Ages 4+)</t>
  </si>
  <si>
    <t>Official Website (https://championschessacademy.in/science-city-branch/)</t>
  </si>
  <si>
    <t>Abhinam Chess Academy</t>
  </si>
  <si>
    <t>Sumadhur 2, D-102, Near Azad Society, Acharya Narendradev Nagar, Ambawadi, Ahmedabad, Gujarat 380015</t>
  </si>
  <si>
    <t>Ambawadi / Azad Society</t>
  </si>
  <si>
    <t>+91 92750 60644</t>
  </si>
  <si>
    <t>abhichess@gmail.com</t>
  </si>
  <si>
    <t>https://www.abhinamchessacademy.com/</t>
  </si>
  <si>
    <t>https://www.facebook.com/abhinamchessacademy/</t>
  </si>
  <si>
    <t>https://maps.google.com/?q=place_id:ChIJuYn9AxaFXjkROA7DOpypzwo</t>
  </si>
  <si>
    <t>Mon-Sat: 2:00 PM - 9:00 PM, Sun: Closed</t>
  </si>
  <si>
    <t>Kids &amp; Adults (5+ years)</t>
  </si>
  <si>
    <t>Official Website (https://www.abhinamchessacademy.com/)</t>
  </si>
  <si>
    <t>R.K. Chokshi School of Chess</t>
  </si>
  <si>
    <t>Institute</t>
  </si>
  <si>
    <t>106, Aaron Spectra, Rajpath Rangoli Road, Opp. Rajpath Club Arena, Bodakdev, Ahmedabad, Gujarat 380059</t>
  </si>
  <si>
    <t>Bodakdev / SG Highway</t>
  </si>
  <si>
    <t>+91 93270 02877</t>
  </si>
  <si>
    <t>http://www.rkcchess.com/</t>
  </si>
  <si>
    <t>https://www.facebook.com/Rkchess/</t>
  </si>
  <si>
    <t>https://maps.google.com/?q=RK+Chokshi+School+of+Chess+Bodakdev+Ahmedabad</t>
  </si>
  <si>
    <t>Mon-Sat: 11:00 AM - 7:00 PM, Sun: 11:00 AM - 5:00 PM</t>
  </si>
  <si>
    <t>Official Website (http://www.rkcchess.com/)</t>
  </si>
  <si>
    <t>AR Chess Academy</t>
  </si>
  <si>
    <t>FF-302, SPG Echelon, Makarba Road, Near Torrent Power, Makarba, Ahmedabad, Gujarat 380051</t>
  </si>
  <si>
    <t>Makarba / Vejalpur</t>
  </si>
  <si>
    <t>+91 72839 61703</t>
  </si>
  <si>
    <t>https://maps.google.com/?q=AR+Chess+Academy+Makarba+Ahmedabad</t>
  </si>
  <si>
    <t>Mon-Sat: 11:00 AM - 8:00 PM, Sun: Closed</t>
  </si>
  <si>
    <t>UrbanPro Profile &amp; Justdial Listing</t>
  </si>
  <si>
    <t>Sakshi Chess Academy</t>
  </si>
  <si>
    <t>Visha Oshwal Jain Club, Nina Society, Bhudarpura, Ambawadi, Ahmedabad, Gujarat 380015</t>
  </si>
  <si>
    <t>Ambawadi / Bhudarpura</t>
  </si>
  <si>
    <t>http://sakshiacademy.in/</t>
  </si>
  <si>
    <t>https://maps.google.com/?q=place_id:ChIJ__8_jN-EXjkR0wEf8jqL8xk</t>
  </si>
  <si>
    <t>Mon-Fri: 10:00 AM - 8:00 PM, Sun: 11:00 AM - 1:30 PM, Sat: Closed</t>
  </si>
  <si>
    <t>Children &amp; School Students</t>
  </si>
  <si>
    <t>Official Website (http://sakshiacademy.in/)</t>
  </si>
  <si>
    <t>Master Mind Chess Academy</t>
  </si>
  <si>
    <t>66 Shivashish Society, Behind BRTS Bus Stop, Sterling City, Bopal, Ahmedabad, Gujarat 380058</t>
  </si>
  <si>
    <t>+91 98240 68285 / +91 98982 72777</t>
  </si>
  <si>
    <t>https://www.facebook.com/mastermindchessacedemy/</t>
  </si>
  <si>
    <t>https://maps.google.com/?q=Master+Mind+Chess+Academy+Bopal+Ahmedabad</t>
  </si>
  <si>
    <t>Mon-Sat: 10:00 AM - 7:00 PM, Sun: 10:00 AM - 12:30 PM</t>
  </si>
  <si>
    <t>Kids &amp; Young Learners</t>
  </si>
  <si>
    <t>Facebook Page &amp; Justdial Bopal Listing</t>
  </si>
  <si>
    <t>Learn Chess Academy</t>
  </si>
  <si>
    <t>B-504 Orchid Blues, Behind Applewood Township, Jodhpur Village / Shela, Ahmedabad, Gujarat 380057</t>
  </si>
  <si>
    <t>Jodhpur / Shela</t>
  </si>
  <si>
    <t>+91 96622 24253</t>
  </si>
  <si>
    <t>https://maps.google.com/?q=Learn+Chess+Academy+Ahmedabad</t>
  </si>
  <si>
    <t>Mon-Sat: 9:00 AM - 8:00 PM, Sun: 11:00 AM - 2:00 PM</t>
  </si>
  <si>
    <t>Justdial &amp; Magicpin Listings</t>
  </si>
  <si>
    <t>Little Masters Chess Academy</t>
  </si>
  <si>
    <t>Near Acropolis Mall, Thaltej, Ahmedabad, Gujarat 380054</t>
  </si>
  <si>
    <t>https://maps.google.com/?q=Little+Masters+Chess+Academy+Thaltej+Ahmedabad</t>
  </si>
  <si>
    <t>Mon-Sun: 8:00 AM - 9:00 PM</t>
  </si>
  <si>
    <t>Justdial Thaltej Listing</t>
  </si>
  <si>
    <t>Aristocratic Chess Academy</t>
  </si>
  <si>
    <t>1402 Regus, Radio Mirchi Tower, 534 Shyamal Cross Road, Shyamal, Satellite, Ahmedabad, Gujarat 380015</t>
  </si>
  <si>
    <t>Satellite / Shyamal</t>
  </si>
  <si>
    <t>https://maps.google.com/?q=Aristocratic+Chess+Academy+Satellite+Ahmedabad</t>
  </si>
  <si>
    <t>Mon-Sat: 10:00 AM - 8:00 PM, Sun: Closed</t>
  </si>
  <si>
    <t>Justdial Satellite Directory</t>
  </si>
  <si>
    <t>Apex Chess Academy</t>
  </si>
  <si>
    <t>Jaltarang Society, Police Chowcky, 16/B, Vejalpur Road, Near Jivraj Park, Ahmedabad, Gujarat 380051</t>
  </si>
  <si>
    <t>Vejalpur / Jivraj Park</t>
  </si>
  <si>
    <t>+91 88668 88640</t>
  </si>
  <si>
    <t>http://www.apexchess.academy/</t>
  </si>
  <si>
    <t>https://maps.google.com/?q=Apex+Chess+Academy+Vejalpur+Ahmedabad</t>
  </si>
  <si>
    <t>Mon-Sat: 3:00 PM - 9:00 PM, Sun: Closed</t>
  </si>
  <si>
    <t>Official Website (http://www.apexchess.academy/)</t>
  </si>
  <si>
    <t>BrainBliss</t>
  </si>
  <si>
    <t>FF-105, Serene Sparkles, South Bopal - Shela Road, Opp. Apollo International School, Shela, Ahmedabad, Gujarat 380058</t>
  </si>
  <si>
    <t>+91 99806 86591</t>
  </si>
  <si>
    <t>https://maps.google.com/?q=Brainbliss+Shela+Ahmedabad</t>
  </si>
  <si>
    <t>Kids (5-15 years)</t>
  </si>
  <si>
    <t>Justdial Directory Listing</t>
  </si>
  <si>
    <t>King Star Sports Academy - Chess Wing</t>
  </si>
  <si>
    <t>Opp. YMCA Club, SG Highway, Prahlad Nagar, Ahmedabad, Gujarat 380015</t>
  </si>
  <si>
    <t>Prahlad Nagar / SG Highway</t>
  </si>
  <si>
    <t>https://maps.google.com/?q=King+Star+Sports+Academy+Prahlad+Nagar+Ahmedabad</t>
  </si>
  <si>
    <t>Mon-Sat: 10:00 AM - 7:00 PM, Sun: Closed</t>
  </si>
  <si>
    <t>Justdial Prahlad Nagar Directory</t>
  </si>
  <si>
    <t>ARainbow Activity Centre - Chess Wing</t>
  </si>
  <si>
    <t>Sun Gravitas, A-636, Shyamal Cross Road, Satellite, Ahmedabad, Gujarat 380015</t>
  </si>
  <si>
    <t>https://maps.google.com/?q=ARainbow+Activity+Center+Satellite+Ahmedabad</t>
  </si>
  <si>
    <t>Mon-Sat: 7:30 AM - 8:00 PM, Sun: 10:00 AM - 2:45 PM</t>
  </si>
  <si>
    <t>Chess Academy (Bodakdev)</t>
  </si>
  <si>
    <t>Basement, Shukan Towers, Beside ADC Bank, Bodakdev, Ahmedabad, Gujarat 380054</t>
  </si>
  <si>
    <t>+91 81415 18284</t>
  </si>
  <si>
    <t>https://maps.google.com/?q=Chess+Academy+Bodakdev+Ahmedabad</t>
  </si>
  <si>
    <t>Mon-Sat: 12:30 PM - 5:00 PM, Sun: Closed</t>
  </si>
  <si>
    <t>Justdial Bodakdev Directory</t>
  </si>
  <si>
    <t>Anant Chess Academy</t>
  </si>
  <si>
    <t>Kidzee Vaishnodevi Circle, Malabar County 2 Road, Tragad, Ahmedabad, Gujarat 382470</t>
  </si>
  <si>
    <t>Tragad / Vaishnodevi Circle</t>
  </si>
  <si>
    <t>+91 89057 65926</t>
  </si>
  <si>
    <t>https://maps.google.com/?q=place_id:ChIJpU5Sf9SDXjkRLpQKhW-lJGU</t>
  </si>
  <si>
    <t>Mon-Sat: 5:00 PM - 7:30 PM, Sun: Closed</t>
  </si>
  <si>
    <t>Justdial Tragad Directory &amp; Google Maps</t>
  </si>
  <si>
    <t>Chess IT Academy</t>
  </si>
  <si>
    <t>Beside Ahmedabad Juniors School, Anand Ilyf, IJK 103, Near Vaishnodevi Underpass, Tragad, Ahmedabad, Gujarat 382421</t>
  </si>
  <si>
    <t>+91 63540 45020</t>
  </si>
  <si>
    <t>https://maps.google.com/?q=place_id:ChIJTRoPuHiDXjkRqBs1DuhIhWc</t>
  </si>
  <si>
    <t>Mon-Sat: Evening Batches</t>
  </si>
  <si>
    <t>Beginner / Intermediate / Tournament Preparation</t>
  </si>
  <si>
    <t>Google Maps Business Listing</t>
  </si>
  <si>
    <t>Gurjar Chess Academy (Chandkheda)</t>
  </si>
  <si>
    <t>Sakar English School, New C.G. Road, Chandkheda, Ahmedabad, Gujarat 382424</t>
  </si>
  <si>
    <t>+91 98252 68759</t>
  </si>
  <si>
    <t>http://www.gurjarchessacademy.com/</t>
  </si>
  <si>
    <t>https://maps.google.com/?q=Gurjar+Chess+Academy+Chandkheda+Ahmedabad</t>
  </si>
  <si>
    <t>Mon-Sat: 9:30 AM - 7:00 PM, Sun: Closed</t>
  </si>
  <si>
    <t>Official Website (http://www.gurjarchessacademy.com/)</t>
  </si>
  <si>
    <t>Gurjar Chess Academy (Paldi / Naranpura)</t>
  </si>
  <si>
    <t>35, Vasantkunj Society, New Shardamandir Road, Paldi, Ahmedabad, Gujarat 380007</t>
  </si>
  <si>
    <t>Paldi / Naranpura Vistar</t>
  </si>
  <si>
    <t>https://maps.google.com/?q=place_id:ChIJIblAzgaFXjkRhODiDBVl_n0</t>
  </si>
  <si>
    <t>Beginner / Intermediate / Advanced / FIDE Guidance</t>
  </si>
  <si>
    <t>Official Website (http://www.gurjarchessacademy.com/) &amp; Justdial Paldi</t>
  </si>
  <si>
    <t>Gurjar Chess Academy (Ghatlodiya)</t>
  </si>
  <si>
    <t>Above 3rd Eye Optics, Prabhat Chowk, Ghatlodiya, Ahmedabad, Gujarat 380061</t>
  </si>
  <si>
    <t>https://maps.google.com/?q=Gurjar+Chess+Academy+Ghatlodiya+Ahmedabad</t>
  </si>
  <si>
    <t>Justdial Ghatlodiya Listing</t>
  </si>
  <si>
    <t>Mineral Chess Academy</t>
  </si>
  <si>
    <t>2nd Floor, 227/A Highway Mall, Near Satyamev Hospital, Chandkheda, Ahmedabad, Gujarat 382424</t>
  </si>
  <si>
    <t>+91 99789 08976</t>
  </si>
  <si>
    <t>https://maps.google.com/?q=place_id:ChIJz69bkcPFXzkRX4An4LpMLVU</t>
  </si>
  <si>
    <t>Mon-Sat: 3:00 PM - 8:00 PM</t>
  </si>
  <si>
    <t>Justdial Chandkheda Listing</t>
  </si>
  <si>
    <t>Brain Train Chess Academy (Sabarmati)</t>
  </si>
  <si>
    <t>EuroKids Pre-School, 1037-1, Mahalaxmi Society, Ramnagar, Sabarmati, Ahmedabad, Gujarat 380005</t>
  </si>
  <si>
    <t>Sabarmati / Ramnagar</t>
  </si>
  <si>
    <t>+91 97378 79067</t>
  </si>
  <si>
    <t>https://www.facebook.com/braintrainchessacademy</t>
  </si>
  <si>
    <t>https://maps.google.com/?q=place_id:ChIJjf0j-yqDXjkRvJGh1Ksz3wg</t>
  </si>
  <si>
    <t>Mon-Sun: 9:00 AM - 9:00 PM</t>
  </si>
  <si>
    <t>Kids, Adults, Senior Citizens</t>
  </si>
  <si>
    <t>Facebook Page &amp; Justdial Sabarmati Listing</t>
  </si>
  <si>
    <t>Brain Train Chess Academy (New Ranip)</t>
  </si>
  <si>
    <t>Shop FF-25, Aryavilla Flat, Opp. Shukan City, Near Manki Circle, New Ranip, Ahmedabad, Gujarat 382470</t>
  </si>
  <si>
    <t>New Ranip</t>
  </si>
  <si>
    <t>https://maps.google.com/?q=place_id:ChIJ-St1WvyDXjkRJDUxmdYzONI</t>
  </si>
  <si>
    <t>Niljosh Chess Academy</t>
  </si>
  <si>
    <t>B-34, Shalibhadra Society, Near Green City Road, Nirnay Nagar, Ahmedabad, Gujarat 382481</t>
  </si>
  <si>
    <t>Nirnay Nagar</t>
  </si>
  <si>
    <t>+91 99795 09591</t>
  </si>
  <si>
    <t>nileshjoshi92@yahoo.com</t>
  </si>
  <si>
    <t>https://maps.google.com/?q=place_id:ChIJMQ2kK9qCXjkRmRuUnNcPsHk</t>
  </si>
  <si>
    <t>Mon-Sat: 5:15 PM - 8:00 PM, Sun: Closed</t>
  </si>
  <si>
    <t>Justdial Nirnay Nagar Listing</t>
  </si>
  <si>
    <t>IM Chess Academy &amp; Club</t>
  </si>
  <si>
    <t>HR Elanza, 311, Vikas Gruh Road, Paldi, Ahmedabad, Gujarat 380006</t>
  </si>
  <si>
    <t>+91 96648 54716</t>
  </si>
  <si>
    <t>https://imchessacademy.com/</t>
  </si>
  <si>
    <t>https://maps.google.com/?q=place_id:ChIJKTE9v0qFXjkRIaO7lqqfsrg</t>
  </si>
  <si>
    <t>Mon, Wed, Fri, Sat, Sun: 9:30 AM-12:00 PM &amp; 4:00 PM-8:00 PM, Thu: 4:00 PM-8:00 PM, Tue: Closed</t>
  </si>
  <si>
    <t>Beginner / Intermediate / Advanced / FIDE Rated / IM Mentorship</t>
  </si>
  <si>
    <t>Official Website (https://imchessacademy.com/)</t>
  </si>
  <si>
    <t>Shah Chess Academy</t>
  </si>
  <si>
    <t>Shalimar Complex, Mahalaxmi Five Road, Paldi Gaam, Ahmedabad, Gujarat 380007</t>
  </si>
  <si>
    <t>Paldi Gaam</t>
  </si>
  <si>
    <t>+91 95580 62087</t>
  </si>
  <si>
    <t>http://www.shahchessacademy.com/</t>
  </si>
  <si>
    <t>https://maps.google.com/?q=place_id:ChIJw8K2pPWFXjkRPGvNxvBR1Co</t>
  </si>
  <si>
    <t>Mon-Sat: Morning &amp; Evening Batches</t>
  </si>
  <si>
    <t>Official Website (http://www.shahchessacademy.com/)</t>
  </si>
  <si>
    <t>Chanakya Chess Academy</t>
  </si>
  <si>
    <t>Shubh Complex, F/37, Jain Colony, Shahibaug, Ahmedabad, Gujarat 380004</t>
  </si>
  <si>
    <t>+91 70465 79058</t>
  </si>
  <si>
    <t>https://www.instagram.com/chanakyachessacademy</t>
  </si>
  <si>
    <t>https://maps.google.com/?q=place_id:ChIJAQAA0BKEXjkR7ye2LSxI9uQ</t>
  </si>
  <si>
    <t>Instagram (@chanakyachessacademy) &amp; Google Maps</t>
  </si>
  <si>
    <t>Master Chess Academy</t>
  </si>
  <si>
    <t>https://maps.google.com/?q=Master+Chess+Academy+Shahibaug+Ahmedabad</t>
  </si>
  <si>
    <t>Mon-Thu, Sat-Sun: 9:00 AM - 5:00 PM, Fri: Closed</t>
  </si>
  <si>
    <t>LyfSkills Discover Directory</t>
  </si>
  <si>
    <t>Tirth Chess Club</t>
  </si>
  <si>
    <t>San House, Opp. Gandhi Ashram &amp; Dandi Bridge, Ashram Road, Ahmedabad, Gujarat 380027</t>
  </si>
  <si>
    <t>Gandhi Ashram / Ashram Road</t>
  </si>
  <si>
    <t>https://maps.google.com/?q=Tirth+Chess+Club+Gandhi+Ashram+Ahmedabad</t>
  </si>
  <si>
    <t>Flexible Club Hours</t>
  </si>
  <si>
    <t>Open to All Ages</t>
  </si>
  <si>
    <t>Beginner / Intermediate / Club Level</t>
  </si>
  <si>
    <t>AICF Official Announcement &amp; UrbanPro Listing</t>
  </si>
  <si>
    <t>Brain Power Chess Academy</t>
  </si>
  <si>
    <t>Near Sakar V, Ashram Road, Navrangpura, Ahmedabad, Gujarat 380009</t>
  </si>
  <si>
    <t>Navrangpura / Ashram Road</t>
  </si>
  <si>
    <t>https://maps.google.com/?q=Brain+Power+Chess+Academy+Navrangpura+Ahmedabad</t>
  </si>
  <si>
    <t>Mon-Sat: Flexible Hours</t>
  </si>
  <si>
    <t>Justdial Navrangpura Directory</t>
  </si>
  <si>
    <t>Gujarati Chess Zone</t>
  </si>
  <si>
    <t>Shop 2, GF, Sparsh Residency 3, Mewada Green Party Plot, Near St. Mary's School, Krishnanagar, Naroda, Ahmedabad, Gujarat 382340</t>
  </si>
  <si>
    <t>Naroda / Krishnanagar</t>
  </si>
  <si>
    <t>https://www.google.com/maps/search/?api=1&amp;query=Gujarati+chess+zone+Naroda+Ahmedabad&amp;query_place_id=ChIJH-7eUgCHXjkROJJZRk59N1Q</t>
  </si>
  <si>
    <t>Mon-Sat: 10:00 AM - 8:00 PM</t>
  </si>
  <si>
    <t>Stalemate Chess Academy</t>
  </si>
  <si>
    <t>SatvaShiv Elegance, 10, Near Gopinath Heights, Nikol, Ahmedabad, Gujarat 380038</t>
  </si>
  <si>
    <t>https://www.google.com/maps/search/?api=1&amp;query=Stalemate+Chess+Academy+Nikol+Ahmedabad&amp;query_place_id=ChIJx6dKO8aHXjkRGbLIGs0KgeI</t>
  </si>
  <si>
    <t>Mon-Sat: 4:00 PM - 8:00 PM</t>
  </si>
  <si>
    <t>4+ years onwards</t>
  </si>
  <si>
    <t>Sunrise Chess Academy</t>
  </si>
  <si>
    <t>Bhakti Circle, Ankur Chokadi, New India Colony, Ankur Tenament, Nikol, Ahmedabad, Gujarat 380049</t>
  </si>
  <si>
    <t>+91 91574 83375</t>
  </si>
  <si>
    <t>http://sunrisechessacademy.com/</t>
  </si>
  <si>
    <t>https://www.google.com/maps/search/?api=1&amp;query=sunrise+chess+academy+Nikol+Ahmedabad&amp;query_place_id=ChIJzy8HKEaHXjkRN77hX8hc5G4</t>
  </si>
  <si>
    <t>Mon-Sat: 9:00 AM - 8:00 PM, Sun: Closed</t>
  </si>
  <si>
    <t>Official Website (http://sunrisechessacademy.com/)</t>
  </si>
  <si>
    <t>Pathak Chess Academy</t>
  </si>
  <si>
    <t>72, Ranna Park Society, New Vatva Road, Near Partheshwar Mahadev, Isanpur, Ahmedabad, Gujarat 382443</t>
  </si>
  <si>
    <t>Isanpur / Vatva</t>
  </si>
  <si>
    <t>+91 87339 49929</t>
  </si>
  <si>
    <t>https://www.google.com/maps/search/?api=1&amp;query=Pathak+Chess+Academy+Isanpur+Ahmedabad&amp;query_place_id=ChIJ6QdO2m6PXjkRv1m9b7BGVug</t>
  </si>
  <si>
    <t>Mon-Sun: Open 24 Hours</t>
  </si>
  <si>
    <t>Justdial &amp; Magicpin Isanpur</t>
  </si>
  <si>
    <t>MYJ Chess Club</t>
  </si>
  <si>
    <t>Smruti Mandir Road, Near Smruti Mandir, Ghodasar, Ahmedabad, Gujarat 380050</t>
  </si>
  <si>
    <t>Ghodasar / Maninagar</t>
  </si>
  <si>
    <t>https://maps.google.com/?q=MYJ+Chess+Club+Ghodasar+Ahmedabad</t>
  </si>
  <si>
    <t>Offline &amp; Home Coaching</t>
  </si>
  <si>
    <t>Justdial Ghodasar Directory</t>
  </si>
  <si>
    <t>Mindful Chess Classes</t>
  </si>
  <si>
    <t>Office 87/1036, Dhiraj Housing, Behind Seven Day School, Maninagar / Khokhra, Ahmedabad, Gujarat 380008</t>
  </si>
  <si>
    <t>Maninagar / Khokhra</t>
  </si>
  <si>
    <t>https://maps.google.com/?q=Mindful+Chess+Classes+Maninagar+Ahmedabad</t>
  </si>
  <si>
    <t>Mon-Sat: Opens from 10:00 AM</t>
  </si>
  <si>
    <t>Justdial &amp; Sulekha Maninagar</t>
  </si>
  <si>
    <t>Vrajesh Education World</t>
  </si>
  <si>
    <t>Sant Shri Punit Road, Balvatika, Maninagar, Ahmedabad, Gujarat 380008</t>
  </si>
  <si>
    <t>+91 99781 28199</t>
  </si>
  <si>
    <t>https://www.google.com/maps/search/?api=1&amp;query=Vrajesh+Education+World+Maninagar+Ahmedabad&amp;query_place_id=ChIJFczEKg2FXjkR80aDivHCmRk</t>
  </si>
  <si>
    <t>School Students &amp; Kids</t>
  </si>
  <si>
    <t>Google Maps &amp; Justdial Maninagar</t>
  </si>
  <si>
    <t>Eklavya Chess Classes</t>
  </si>
  <si>
    <t>Saijpur Bogha / Naroda Road, Ahmedabad, Gujarat 382345</t>
  </si>
  <si>
    <t>Saijpur Bogha / Naroda</t>
  </si>
  <si>
    <t>https://maps.google.com/?q=Eklavya+Chess+Classes+Naroda+Ahmedabad</t>
  </si>
  <si>
    <t>Eight Square Chess Academy</t>
  </si>
  <si>
    <t>Nikol / Naroda Road Area, Ahmedabad, Gujarat 382350</t>
  </si>
  <si>
    <t>info@eightsquarechess.com</t>
  </si>
  <si>
    <t>https://chess-results.com/tnr1464667.aspx?lan=1</t>
  </si>
  <si>
    <t>https://maps.google.com/?q=Eight+Square+Chess+Academy+Ahmedabad</t>
  </si>
  <si>
    <t>Mon-Sat: 9:00 AM - 7:00 PM</t>
  </si>
  <si>
    <t>Kids &amp; FIDE Rated Players</t>
  </si>
  <si>
    <t>AICF &amp; Chess-Results Official Tournament Filings</t>
  </si>
  <si>
    <t>Crown Square Chess Academy</t>
  </si>
  <si>
    <t>Vastrapur / Satellite Area, Ahmedabad, Gujarat 380015</t>
  </si>
  <si>
    <t>Vastrapur / Satellite</t>
  </si>
  <si>
    <t>https://chess-results.com/tnr1354355.aspx?lan=1</t>
  </si>
  <si>
    <t>https://maps.google.com/?q=Crown+Square+Chess+Academy+Ahmedabad</t>
  </si>
  <si>
    <t>Mon-Sat: 10:00 AM - 6:00 PM</t>
  </si>
  <si>
    <t>GSCA &amp; Chess-Results Official Event Filings</t>
  </si>
  <si>
    <t>Vedansh Chess Coaching</t>
  </si>
  <si>
    <t>Near Jagatpur, Opp. Godrej Garden City, Jagatpur, Ahmedabad, Gujarat 382470</t>
  </si>
  <si>
    <t>Jagatpur / Godrej Garden City</t>
  </si>
  <si>
    <t>https://maps.google.com/?q=Vedansh+Chess+Coaching+Jagatpur+Ahmedabad</t>
  </si>
  <si>
    <t>Justdial Jagatpur Listing</t>
  </si>
  <si>
    <t>Unscramble Rubik's Cube &amp; Chess Academy</t>
  </si>
  <si>
    <t>Vandemataram Arcade, Vandemataram Road, Gota Road, Ahmedabad, Gujarat 382481</t>
  </si>
  <si>
    <t>Gota Road</t>
  </si>
  <si>
    <t>https://maps.google.com/?q=Unscramble+Academy+Gota+Ahmedabad</t>
  </si>
  <si>
    <t>Mon-Sat: 10:00 AM - 7:00 PM</t>
  </si>
  <si>
    <t>Justdial Gota Listing</t>
  </si>
  <si>
    <t>Hopscotch Activity Centre - Chess Wing</t>
  </si>
  <si>
    <t>Block A, Devnandan Avenue, Opp. IDP School, Beside Gharwakhari Furniture, Stadium Road, Motera, Ahmedabad, Gujarat 380005</t>
  </si>
  <si>
    <t>https://maps.google.com/?q=Hopscotch+Motera+Ahmedabad</t>
  </si>
  <si>
    <t>Justdial Motera Listing</t>
  </si>
  <si>
    <t>Gujarat State Chess Association (Bodakdev Headquarter)</t>
  </si>
  <si>
    <t>Bodakdev Branch, The Ahmedabad Dist. Co.op. Bank Ltd. Building, Bodakdev, Ahmedabad, Gujarat 380054</t>
  </si>
  <si>
    <t>+91 79 2685 0000</t>
  </si>
  <si>
    <t>gsca.chess@gmail.com</t>
  </si>
  <si>
    <t>https://gsca-chess.vercel.app/</t>
  </si>
  <si>
    <t>https://www.facebook.com/groups/5880182932092372/</t>
  </si>
  <si>
    <t>https://maps.google.com/?q=Gujarat+State+Chess+Association+Bodakdev+Ahmedabad</t>
  </si>
  <si>
    <t>Mon-Sat: 10:30 AM - 6:00 PM, Sun: Closed</t>
  </si>
  <si>
    <t>Open to All</t>
  </si>
  <si>
    <t>Official State Federation / FIDE Rated / Seminars &amp; Training</t>
  </si>
  <si>
    <t>GSCA Official Portal &amp; AICF Affiliation</t>
  </si>
  <si>
    <t>Gujarat State Chess Association (Khanpur Centre)</t>
  </si>
  <si>
    <t>Khanpur Centre, C/o Old Sports Complex, Khanpur, Ahmedabad, Gujarat 380001</t>
  </si>
  <si>
    <t>Khanpur</t>
  </si>
  <si>
    <t>+91 79 2550 7800</t>
  </si>
  <si>
    <t>https://maps.google.com/?q=Gujarat+State+Chess+Association+Khanpur+Ahmedabad</t>
  </si>
  <si>
    <t>Mon-Sat: 11:00 AM - 5:00 PM</t>
  </si>
  <si>
    <t>Beginner / Intermediate / Advanced / State Training</t>
  </si>
  <si>
    <t>GSCA &amp; LyfSkills Discover Directory</t>
  </si>
  <si>
    <t>Dharmendra J. Mojidra Chess Coaching</t>
  </si>
  <si>
    <t>Ramrajya Nagar, Odhav, Ahmedabad, Gujarat 382415</t>
  </si>
  <si>
    <t>https://maps.google.com/?q=Odhav+Ahmedabad+Gujarat</t>
  </si>
  <si>
    <t>UrbanPro Certified Tutor Directory</t>
  </si>
  <si>
    <t>Vishal Vala Chess Coaching</t>
  </si>
  <si>
    <t>Thakkarbapa Nagar / Bapunagar, Ahmedabad, Gujarat 382350</t>
  </si>
  <si>
    <t>Bapunagar / Thakkarbapa Nagar</t>
  </si>
  <si>
    <t>https://maps.google.com/?q=Bapunagar+Ahmedabad+Gujarat</t>
  </si>
  <si>
    <t>UrbanPro Certified Trainer Directory</t>
  </si>
  <si>
    <t>Asea Multi Sports Academy (Nikol - Permanently Closed)</t>
  </si>
  <si>
    <t>https://www.google.com/maps/search/?api=1&amp;query=Asea+Multi+Sports+Academy+Nikol+Ahmedabad&amp;query_place_id=ChIJ4WPcrjyHXjkRRl7_JXXldto</t>
  </si>
  <si>
    <t>Permanently Closed</t>
  </si>
  <si>
    <t>Shilaj - Science City Road, Near Bopal, Ahmedabad, Gujarat 380059</t>
  </si>
  <si>
    <t>Shilaj / Bopal</t>
  </si>
  <si>
    <t>https://maps.google.com/?q=Sprint+Recreation+Shilaj+Ahmedabad</t>
  </si>
  <si>
    <t>Mon-Sat: 8:00 AM - 8:00 PM</t>
  </si>
  <si>
    <t>Akruti Activity Center - Chess Wing</t>
  </si>
  <si>
    <t>Sonal Cross Road, Memnagar, Ahmedabad, Gujarat 380052</t>
  </si>
  <si>
    <t>https://maps.google.com/?q=Akruti+Activity+Center+Memnagar+Ahmedabad</t>
  </si>
  <si>
    <t>Justdial Memnagar Directory</t>
  </si>
  <si>
    <t>Khokhara Sports Club - Chess Wing</t>
  </si>
  <si>
    <t>Khokhra Sports Complex, Near Anupam Cinema, Khokhra, Maninagar, Ahmedabad, Gujarat 380008</t>
  </si>
  <si>
    <t>https://maps.google.com/?q=Khokhara+Sports+Club+Maninagar+Ahmedabad</t>
  </si>
  <si>
    <t>Mon-Sat: 6:00 AM - 8:00 PM</t>
  </si>
  <si>
    <t>Justdial Maninagar Directory &amp; Municipal Listings</t>
  </si>
  <si>
    <t>UnVerified</t>
  </si>
  <si>
    <t>1C - First Floor - Center Point - Panchvati Circle - Chimanlal Girdharlal Rd - Navrangpura - Ahmedabad - Gujarat 380006</t>
  </si>
  <si>
    <t>Monday to Saturday: 6:00 AM – 8:00 PM / Sunday: Closed</t>
  </si>
  <si>
    <t>Kids / Teens / Adults (Age 5+)</t>
  </si>
  <si>
    <t>Beginner / Intermediate / Advanced / Tournament Level</t>
  </si>
  <si>
    <t>Ruju’s Fitness - Shreeya Atlanta - B-113 - near Baghban Party Plot Road - PRL Colony - Thaltej - Ahmedabad - Gujarat 380015</t>
  </si>
  <si>
    <t>Kids / Teens / Adults</t>
  </si>
  <si>
    <t>01 - Inside Kameshwar School - B/h Shell Petrol Pump - Anand Nagar Road - 100 Feet Rd - Prahlad Nagar - Ahmedabad - Gujarat 380015</t>
  </si>
  <si>
    <t>Children / Teens / Adults</t>
  </si>
  <si>
    <t>Meghdeep Primary &amp; Sanskar Higher Secondary School - near Rajatkamal Society - beside S.M. Overbridge - Mukesh Park - Part-1 - Satellite - Ahmedabad - Gujarat 380051</t>
  </si>
  <si>
    <t>Tuesday / Thursday / Saturday: 6:00 PM – 8:00 PM / Sunday: 8:00 AM – 10:00 AM</t>
  </si>
  <si>
    <t>Kids (Age 4+) / Teens / Adults</t>
  </si>
  <si>
    <t>Manibhadra Apartment Basement - Gulab Tower Rd - near Cambay Grand - Thaltej - Ahmedabad - Gujarat 380054</t>
  </si>
  <si>
    <t>Monday to Saturday: 6:00 AM – 9:00 PM / Sunday: Closed</t>
  </si>
  <si>
    <t>Beginner / Intermediate / Professional Fight Training</t>
  </si>
  <si>
    <t>Shraddha Vidya Mandir - Jodhpur Village Rd - opposite Vastraj Flat - near Dmart - Jodhpur Village - Satellite - Ahmedabad - Gujarat 380015</t>
  </si>
  <si>
    <t>Beginner / Belt Grading / Tournament Level</t>
  </si>
  <si>
    <t>A/130 - Makarba Rd - Shri Ram Nagar Appartment - Vejalpur - Ahmedabad - Gujarat 380051</t>
  </si>
  <si>
    <t>Kids / Youth / Adults</t>
  </si>
  <si>
    <t>Happy Kidz School - opp. Venus Park - Rudrabaug Society - Mahavir Nagar - Meldinagar - Vejalpur - Ahmedabad - Gujarat 380051</t>
  </si>
  <si>
    <t>Children (Kids) / Teens</t>
  </si>
  <si>
    <t>408 - Shitalvarsha Complex - Shivranjani Cross Rd - opp. Harit Zaveri - Satellite - Ahmedabad - Gujarat 380015</t>
  </si>
  <si>
    <t>Monday to Saturday: 11:00 AM – 8:00 PM / Sunday: Closed</t>
  </si>
  <si>
    <t>Teens / Adults</t>
  </si>
  <si>
    <t>1st Floor - nr Mercantile Co-operative Bank - Mahaveer Marg - opp. Jasmine Flats - Khanpur / Ellisbridge - Ahmedabad - Gujarat 380006</t>
  </si>
  <si>
    <t>Kids / Women / Adults</t>
  </si>
  <si>
    <t>M-7-38 Pragatinagar GHB Flats - opp. Water Tubewell Station - Pragatinagar - New Vadaj - Naranpura - Ahmedabad - Gujarat 380013</t>
  </si>
  <si>
    <t>Children / Youth / Adults</t>
  </si>
  <si>
    <t>Ratnamani Society - Gyanda Girls High School Rd Opp - K K Nagar - Ghatlodiya - Ahmedabad - Gujarat 382481</t>
  </si>
  <si>
    <t>Som Lalit School - B/H nr Sardar Patel Stadium Rd - Hindu Colony - Navrangpura - Ahmedabad - Gujarat 380009</t>
  </si>
  <si>
    <t>Beginner / Intermediate / Olympic-Standard Tournament Level</t>
  </si>
  <si>
    <t>B 20 - Galaxy Signature - Science City Rd - opp. Susan bungalow - Sola / Thaltej - Ahmedabad - Gujarat 380060</t>
  </si>
  <si>
    <t>Kids / Adults</t>
  </si>
  <si>
    <t>2/35 - near New Tulip School - Sterling City - Bopal - Ahmedabad - Gujarat 380058</t>
  </si>
  <si>
    <t>KNPIS School - Nurtureland Preschool - Besides New Gota - Gota - Ahmedabad - Gujarat 382481</t>
  </si>
  <si>
    <t>Monday / Wednesday / Friday: 4:30 PM – 7:00 PM; Tuesday / Thursday / Saturday / Sunday: 9:00 AM – 5:00 PM</t>
  </si>
  <si>
    <t>Kids / Girls / Beginners &amp; Adults</t>
  </si>
  <si>
    <t>Shop 105 - First Floor - Vandanam - near Center Point - Gota - Ahmedabad - Gujarat 382470</t>
  </si>
  <si>
    <t>Kids / Youth &amp; Adults</t>
  </si>
  <si>
    <t>217 - near Gota Chokdi Flyover - Gota - Ahmedabad - Gujarat 382481</t>
  </si>
  <si>
    <t>Jupiter Preschool - nr. Devnagar Gam Road - next to McDonald's street - Gota - Ahmedabad - Gujarat 382481</t>
  </si>
  <si>
    <t>Monday / Wednesday / Friday: 6:30 PM – 8:00 PM</t>
  </si>
  <si>
    <t>Children / Girls &amp; Adults</t>
  </si>
  <si>
    <t>Doctor Gym - Centre Point - NR Vandematram Cross Rd - Gota - Ahmedabad - Gujarat 382481</t>
  </si>
  <si>
    <t>Blooming Campus - Navrang International School - nr. Jagatpur Road - Gota - Ahmedabad - Gujarat 382470</t>
  </si>
  <si>
    <t>Tuesday / Thursday / Saturday: 6:30 PM – 7:30 PM</t>
  </si>
  <si>
    <t>Shop No.5 - 6 - 7 - Ugati Dham - Sola - Ahmedabad - Gujarat 380060</t>
  </si>
  <si>
    <t>Survey No 699 - EuroKids Preschool - TP No 405 - DPS Bopal Rd - near Sereno Sparkle - Shilaj - Ahmedabad - Gujarat 380059</t>
  </si>
  <si>
    <t>Abhishek Bunglows - 2 - South Bopal Rd - opposite SOBO Center Road - South Bopal - Bopal - Ahmedabad - Gujarat 380057</t>
  </si>
  <si>
    <t>Jagruti Vidhya Sankul - Nr. G.H.B - Janta Nagar - Chandkheda - Ahmedabad - Gujarat 382424</t>
  </si>
  <si>
    <t>Tuesday / Thursday / Saturday: 7:00 PM – 8:15 PM</t>
  </si>
  <si>
    <t>Sarjan Bunglows 2 - 209 - New CG Rd - Nigam Nagar - Chandkheda - Ahmedabad - Gujarat 382424</t>
  </si>
  <si>
    <t>Monday / Wednesday / Friday: 6:00 PM – 8:00 PM</t>
  </si>
  <si>
    <t>3rd Floor - Setu Square - 501 - New CG Rd - Nigam Nagar - Chandkheda - Ahmedabad - Gujarat 382424</t>
  </si>
  <si>
    <t>Tuesday / Thursday / Saturday: 6:00 PM – 8:00 PM</t>
  </si>
  <si>
    <t>Parshwanath Metro City - TP 44 - HB Kapadia School Rd - opp. Parshwanath Metro City - Nigam Nagar - Chandkheda - Ahmedabad - Gujarat 382424</t>
  </si>
  <si>
    <t>Tuesday / Thursday: 6:00 PM – 7:30 PM</t>
  </si>
  <si>
    <t>2ND Home Preschool - opp. Motera vegetable market - Motera - Ahmedabad - Gujarat 380005</t>
  </si>
  <si>
    <t>Monday / Wednesday / Friday: 6:30 PM – 7:30 PM</t>
  </si>
  <si>
    <t>Stadium Metro Station - Shop No 101 - Nirmalkala App - Motera Rd - nr. Motera - Sabarmati - Ahmedabad - Gujarat 380005</t>
  </si>
  <si>
    <t>Monday to Friday: 6:30 AM – 9:00 AM / 5:00 PM – 9:00 PM</t>
  </si>
  <si>
    <t>All Ages (Kids / Youth / Adults)</t>
  </si>
  <si>
    <t>Siddhi Complex - Subhash Bridge - RTO Cir - opp. Gokul Guesthouse - Sabarmati - Ahmedabad - Gujarat 380027</t>
  </si>
  <si>
    <t>Monday / Wednesday: 6:00 PM – 7:00 PM; Friday: 6:00 AM – 7:00 PM</t>
  </si>
  <si>
    <t>Marigold English School - Nutan High School - behind Jawahar Chowk - near Achar Bus Depot - Adinath Nagar - Sabarmati - Ahmedabad - Gujarat 382415</t>
  </si>
  <si>
    <t>Saraswati Vidhya Sankul - Nikol Gam Rd - opp. Pancham Mall - Karnavati - Nikol - Ahmedabad - Gujarat 380049</t>
  </si>
  <si>
    <t>Kids / Teens &amp; Adults</t>
  </si>
  <si>
    <t>Hill Town Residency - 108 - Hill Town Circle Rd - near Bhakti Circle - opp. Marriott Sky Avenue - Nikol - Ahmedabad - Gujarat 380049</t>
  </si>
  <si>
    <t>304 - opp. Rajhansh Cinema - New India Colony - Nikol - Ahmedabad - Gujarat 380049</t>
  </si>
  <si>
    <t>Nana Chiloda - Naroda - Ahmedabad - Gujarat 382330</t>
  </si>
  <si>
    <t>Shop No. FF-108 - Beverly Plaza - Sardar Patel Ring Rd - New Shahibaug - Nana Chiloda - Naroda - Ahmedabad - Gujarat 382330</t>
  </si>
  <si>
    <t>Kids / Adults / Women</t>
  </si>
  <si>
    <t>01 - Preschool - inside Little Millennium - Kamalkunj Society - Rambagh - Maninagar - Ahmedabad - Gujarat 380008</t>
  </si>
  <si>
    <t>Nehrupark Society - 1 - Temple Cross Road - near Bhairavnath - Pragati Society - Maninagar - Ahmedabad - Gujarat 380028</t>
  </si>
  <si>
    <t>Purvi Tuition Classes - Gujarat Housing Board - opp. Physical Ground - Maninagar East - Khokhra - Ahmedabad - Gujarat 380008</t>
  </si>
  <si>
    <t>Jyoti Sangh - Bhimjipura - Nava Vadaj - Naranpura - Ahmedabad - Gujarat 380013</t>
  </si>
  <si>
    <t>Tuesday / Thursday / Saturday: 6:15 PM – 7:45 PM</t>
  </si>
  <si>
    <t>Smt. K.N. Patel International School - New Gota - Gota - Ahmedabad - Gujarat 382481</t>
  </si>
  <si>
    <t>Monday to Saturday: 6:00 AM – 8:00 AM / 5:00 PM – 7:30 PM</t>
  </si>
  <si>
    <t>Near Devnagar Gam Road - Next to McDonald's Street - Gota - Ahmedabad - Gujarat 382481</t>
  </si>
  <si>
    <t>Monday to Saturday: 6:30 AM – 8:30 AM / 5:00 PM – 8:00 PM</t>
  </si>
  <si>
    <t>A-103 - Sai Sarjan Apartment - Inside Shubhlaxmi Society - Near Subhash Chowk - Memnagar - Ahmedabad - Gujarat 380052</t>
  </si>
  <si>
    <t>All Age Groups (Sub-Junior / Cadet / Junior / Senior)</t>
  </si>
  <si>
    <t>63 - Gopal Charan - Aaryan School Road - Nirant Cross Rd - Vastral - Ahmedabad - Gujarat 382418</t>
  </si>
  <si>
    <t>Near Boot Bhavani Mandir - Vejalpur Bus Stop - Vejalpur - Ahmedabad - Gujarat 380051</t>
  </si>
  <si>
    <t>Monday to Saturday: 6:00 AM – 8:00 AM / 5:00 PM – 8:00 PM</t>
  </si>
  <si>
    <t>Court Type</t>
  </si>
  <si>
    <t>Sardar Bridge Sports Kabaddi Academy</t>
  </si>
  <si>
    <t>Kabaddi</t>
  </si>
  <si>
    <t>2H6H+9FC, Om Shanti Nagar, Near Sardar Bridge, Jamalpur Flower Market Area, Jamalpur, Ahmedabad, Gujarat 380022</t>
  </si>
  <si>
    <t>Jamalpur</t>
  </si>
  <si>
    <t>+91 79 2209 2121</t>
  </si>
  <si>
    <t>https://www.google.com/maps/search/?api=1&amp;query=Sardar+Bridge+Sports+Kabaddi+Academy+Jamalpur+Ahmedabad&amp;query_place_id=ChIJ55vAmbGFXjkRkWiYjpRxsYY</t>
  </si>
  <si>
    <t>Monday - Saturday: 07:00 AM - 11:30 AM &amp; 04:00 PM - 07:00 PM</t>
  </si>
  <si>
    <t>Mud</t>
  </si>
  <si>
    <t>Under-14, Under-17, Under-19, Open Age</t>
  </si>
  <si>
    <t>https://www.justdial.com/Ahmedabad/Sardar-Bridge-Sports-Kabaddi-Academy-Om-Shanti-Nagar/079PXX79-XX79-220921211612-N4I3_BZDET</t>
  </si>
  <si>
    <t>Sheth C N Vidyavihar Sports Academy (C. N. Kabaddi Ground)</t>
  </si>
  <si>
    <t>Sheth C. N. Vidyavihar Campus, 1, Bhudarpura Rd, Dr. Vikram Sarabhai Marg, Ambawadi, Ahmedabad, Gujarat 380006</t>
  </si>
  <si>
    <t>+91 79 2644 3031</t>
  </si>
  <si>
    <t>https://www.google.com/maps/search/?api=1&amp;query=C+N+Kabaddi+Ground+Ambawadi+Ahmedabad&amp;query_place_id=ChIJMeyNuzCFXjkRtOO7uuBDYdE</t>
  </si>
  <si>
    <t>Monday - Saturday: 06:00 AM - 09:00 AM &amp; 04:30 PM - 07:30 PM</t>
  </si>
  <si>
    <t>Both</t>
  </si>
  <si>
    <t>Children (6+ yrs), Under-14, Under-17, Youth</t>
  </si>
  <si>
    <t>Sports Authority of Gujarat (SAG) District Sports Complex - Nikol</t>
  </si>
  <si>
    <t>Palette Hotel Silvera Grand, 25-26, Ghanshyam Villa Society, Krishna Nagar / Nikol-Naroda Rd, Nikol, Ahmedabad, Gujarat 382345</t>
  </si>
  <si>
    <t>info-sag@gujarat.gov.in</t>
  </si>
  <si>
    <t>https://sycd.gujarat.gov.in/department-address.htm</t>
  </si>
  <si>
    <t>https://maps.app.goo.gl/pLoiByvnBE5UDfaZ7</t>
  </si>
  <si>
    <t>Tuesday - Sunday: 06:00 AM - 10:00 AM &amp; 04:00 PM - 08:00 PM</t>
  </si>
  <si>
    <t>Intermediate / Advanced / Pro</t>
  </si>
  <si>
    <t>District Sports Complex Khokhra (Sports Authority of Gujarat)</t>
  </si>
  <si>
    <t>XJXC+F2H, Khokhra Circle, Near Marutinandan Apartment, Maninagar East, Khokhra, Ahmedabad, Gujarat 380008</t>
  </si>
  <si>
    <t>Khokhra</t>
  </si>
  <si>
    <t>+91 79 2537 0000</t>
  </si>
  <si>
    <t>dlss.sag@gmail.com</t>
  </si>
  <si>
    <t>https://maps.app.goo.gl/rox6tHdr5xErC2ry7</t>
  </si>
  <si>
    <t>Monday - Saturday: 06:00 AM - 09:00 AM &amp; 04:00 PM - 08:00 PM</t>
  </si>
  <si>
    <t>EKA Arena by TransStadia (Gujarat Giants High Performance Center)</t>
  </si>
  <si>
    <t>Vyayam Vidyalaya Campus, Lake Gate No. 3, Kankaria Lakefront, Kankaria, Maninagar, Ahmedabad, Gujarat 380022</t>
  </si>
  <si>
    <t>Kankaria</t>
  </si>
  <si>
    <t>+91 79 7121 2000</t>
  </si>
  <si>
    <t>info@transstadia.com</t>
  </si>
  <si>
    <t>https://maps.app.goo.gl/wxcLdByS4kSQ44Xk9</t>
  </si>
  <si>
    <t>Mat</t>
  </si>
  <si>
    <t>Sub-Junior, Junior, Youth, Pro Athletes</t>
  </si>
  <si>
    <t>Advanced / Pro</t>
  </si>
  <si>
    <t>Tulip Bungalow Road, Opposite Enigma Towers, Thaltej, Ahmedabad, Gujarat 380054</t>
  </si>
  <si>
    <t>+91 79 2685 8500</t>
  </si>
  <si>
    <t>eklavyasports@gmail.com</t>
  </si>
  <si>
    <t>https://www.google.com/maps/search/?api=1&amp;query=Eklavya+Sports+Academy+Thaltej+Ahmedabad</t>
  </si>
  <si>
    <t>Children (5-16 yrs), Youth</t>
  </si>
  <si>
    <t>https://www.bookmyplayer.com/kabaddi/eklavya-sports-academy-in-ahmedabad-gujarat-aid-6221</t>
  </si>
  <si>
    <t>Shri Ambubhai Purani Vyayam Vidyalaya (Kankaria Vyayam Sala)</t>
  </si>
  <si>
    <t>Vyayamshala</t>
  </si>
  <si>
    <t>Vyayam Vidyalaya Campus, Near Football Ground, Opposite Gate No. 3, Kankaria Lake, Ahmedabad, Gujarat 380022</t>
  </si>
  <si>
    <t>Monday - Saturday: 05:30 AM - 09:30 AM &amp; 05:00 PM - 08:30 PM</t>
  </si>
  <si>
    <t>Youth, Adults</t>
  </si>
  <si>
    <t>https://www.justdial.com/Ahmedabad/Shri-Ambubhai-Purani-Vyayam-Vidyalaya-Near-Football-Ground-Kankaria/079PXX79-XX79-110506144629-L1Y1</t>
  </si>
  <si>
    <t>Sardar Patel Stadium Vyayam Shala</t>
  </si>
  <si>
    <t>2HR7+3V8, Stadium Cross Rd, Navrangpura, Ahmedabad, Gujarat 380009</t>
  </si>
  <si>
    <t>https://www.google.com/maps/search/?api=1&amp;query=Sardar+Patel+Stadium+Vyayam+Shala+Navrangpura+Ahmedabad</t>
  </si>
  <si>
    <t>Monday - Saturday: 06:00 AM - 10:00 AM &amp; 04:00 PM - 08:00 PM</t>
  </si>
  <si>
    <t>Under-14, Under-17, Youth, Adults</t>
  </si>
  <si>
    <t>https://www.justdial.com/Ahmedabad/Sardar-Patel-Stadium-Vyayam-Shala-Navrangpura/079PXX79-XX79-200702211215-M2J1</t>
  </si>
  <si>
    <t>GRP Sports Academy (Kabaddi Division)</t>
  </si>
  <si>
    <t>Gate No. 3, Inside Madhav Farm, Opposite Honest Restaurant, SP Ring Road, Vastral, Ahmedabad, Gujarat 382415</t>
  </si>
  <si>
    <t>https://grpsportsacademy.com/contact-us/</t>
  </si>
  <si>
    <t>https://www.google.com/maps/search/?api=1&amp;query=GRP+Sports+Academy+Vastral+Ahmedabad&amp;query_place_id=ChIJaRPxdreHXjkRBtO4MRPmHpE</t>
  </si>
  <si>
    <t>Monday - Saturday: 06:30 AM - 08:00 PM</t>
  </si>
  <si>
    <t>Kids, Sub-Junior, Youth, Open Age</t>
  </si>
  <si>
    <t>Champions Martial Art &amp; Sports Academy (Kabaddi Wing)</t>
  </si>
  <si>
    <t>Manibhadra Apartment Basement, Gulab Tower Road, Near Cambay Grand Hotel, Thaltej, Ahmedabad, Gujarat 380054</t>
  </si>
  <si>
    <t>https://www.google.com/maps/search/?api=1&amp;query=Champions+Martial+Art+Academy+Thaltej+Ahmedabad&amp;query_place_id=ChIJmSH61rmDXjkRYaYf2_iohEo</t>
  </si>
  <si>
    <t>Monday - Saturday: 06:00 AM - 08:30 AM &amp; 04:30 PM - 07:30 PM</t>
  </si>
  <si>
    <t>Under-12, Youth, Adults</t>
  </si>
  <si>
    <t>Gujarat Sports Academy - Chandlodiya</t>
  </si>
  <si>
    <t>Near Dev City, Opposite Ravija Flat, Chandlodiya, Ahmedabad, Gujarat 380061</t>
  </si>
  <si>
    <t>Chandlodiya</t>
  </si>
  <si>
    <t>+91 99799 28287</t>
  </si>
  <si>
    <t>https://www.google.com/maps/search/?api=1&amp;query=Gujarat+Sports+Academy+Chandlodiya+Ahmedabad&amp;query_place_id=ChIJw6T1womDXjkRswxQfRLiPFk</t>
  </si>
  <si>
    <t>Monday - Saturday: 06:00 AM - 09:00 AM &amp; 04:00 PM - 07:30 PM</t>
  </si>
  <si>
    <t>Juniors, Youth, Open Age</t>
  </si>
  <si>
    <t>https://www.justdial.com/Ahmedabad/Gujarat-Sports-Academy-Near-Dev-City-Opposite-Ravija-Flat-Chandlodiya/079PXX79-XX79-130723154431-M6P1_BZDET</t>
  </si>
  <si>
    <t>Shree Siddh Hanuman Ji Kabaddi Club</t>
  </si>
  <si>
    <t>Shree Siddh Vijay Hanumanji Premises, Telav - Ghuma Rd, Ghuma / Bopal Area, Ahmedabad, Gujarat 380057</t>
  </si>
  <si>
    <t>https://www.google.com/maps/search/?api=1&amp;query=Shree+Siddh+Vijay+Hanumanji+Mandir+Ghuma+Ahmedabad&amp;query_place_id=ChIJT8uwtsebXjkRZ_IDjGwAgqc</t>
  </si>
  <si>
    <t>Monday - Saturday: 05:30 AM - 08:30 AM &amp; 05:00 PM - 07:30 PM</t>
  </si>
  <si>
    <t>Sub-Junior, Junior, Open Age</t>
  </si>
  <si>
    <t>https://www.justdial.com/Ahmedabad/Kabaddi-Clubs/nct-11981742</t>
  </si>
  <si>
    <t>Mankol Kabaddi Club</t>
  </si>
  <si>
    <t>W747+WJG, Mankol Village, Sanand Taluka, Ahmedabad District, Gujarat 382110</t>
  </si>
  <si>
    <t>Sanand</t>
  </si>
  <si>
    <t>https://www.google.com/maps/search/?api=1&amp;query=Mankol+Kabaddi+Club+Sanand+Ahmedabad&amp;query_place_id=ChIJ_fsbjuu8XjkR8ZeCvkMqilQ</t>
  </si>
  <si>
    <t>Monday - Sunday: 05:00 PM - 07:30 PM</t>
  </si>
  <si>
    <t>Youth, Open Age</t>
  </si>
  <si>
    <t>Intermediate / Advanced</t>
  </si>
  <si>
    <t>https://www.google.com/maps/search/?api=1&amp;query=Mankol+Kabaddi+Club+Sanand+Ahmedabad</t>
  </si>
  <si>
    <t>Veer Savarkar Sports Complex (AMC Municipal Coaching Facility)</t>
  </si>
  <si>
    <t>Lal Bahadur Shastri Road, Near Memco Char Rasta, Saijpur Bogha, Ahmedabad, Gujarat 382345</t>
  </si>
  <si>
    <t>https://www.google.com/maps/search/?api=1&amp;query=Veer+Savarkar+Sports+Complex+Saijpur+Bogha+Ahmedabad&amp;query_place_id=ChIJY4lkvruGXjkRL39OrX10bDA</t>
  </si>
  <si>
    <t>Tuesday - Saturday: 05:30 AM - 09:00 PM</t>
  </si>
  <si>
    <t>Youth, Open Age, Mission Olympics Trainees</t>
  </si>
  <si>
    <t>STAG AMC Gota Recreation Center / Sports Complex</t>
  </si>
  <si>
    <t>Final Plot No. 162, Gota Site, Sola, Ahmedabad, Gujarat 380060</t>
  </si>
  <si>
    <t>+91 79 2755 0000</t>
  </si>
  <si>
    <t>https://www.google.com/maps/search/?api=1&amp;query=STAG+AMC+Gota+recreation+center+Sola+Ahmedabad&amp;query_place_id=ChIJx8bhszuDXjkRHfxZobpZfb8</t>
  </si>
  <si>
    <t>Gujarat State Kabaddi Association (GSKA) &amp; Regional Training Center</t>
  </si>
  <si>
    <t>Sector 13B, Near KH-3 Circle, Vavol Crossing, Gandhinagar / Ahmedabad Border, Gujarat 382016</t>
  </si>
  <si>
    <t>Gandhinagar / Ahmedabad</t>
  </si>
  <si>
    <t>+91 79 2325 4791</t>
  </si>
  <si>
    <t>info@gujaratstatekabaddi.com</t>
  </si>
  <si>
    <t>https://gujaratstatekabaddi.com/</t>
  </si>
  <si>
    <t>https://www.google.com/maps/search/?api=1&amp;query=Sports+Authority+of+Gujarat+Vavol+Gandhinagar&amp;query_place_id=ChIJFenY1aYrXDkRvdc1HhS027c</t>
  </si>
  <si>
    <t>Monday - Saturday: 10:30 AM - 06:00 PM</t>
  </si>
  <si>
    <t>Sub-Junior, Junior, Senior (State Selection)</t>
  </si>
  <si>
    <t>Bow Types Taught</t>
  </si>
  <si>
    <t>Range Distance</t>
  </si>
  <si>
    <t>Sanskardham Sports Academy (Vijayi Bharat Foundation High Performance Centre)</t>
  </si>
  <si>
    <t>Archery</t>
  </si>
  <si>
    <t>Sanskardham Campus, Ghuma-Godhavi Road, Manipur, Bopal, Ahmedabad, Gujarat 382115</t>
  </si>
  <si>
    <t>+91 79 6813 0100</t>
  </si>
  <si>
    <t>info@sanskardham.org</t>
  </si>
  <si>
    <t>https://www.sanskardham.org/</t>
  </si>
  <si>
    <t>Recurve, Compound, Indian/Traditional</t>
  </si>
  <si>
    <t>Olympic Size Range (up to 70m)</t>
  </si>
  <si>
    <t>6+ years (Children, Youth &amp; Adults)</t>
  </si>
  <si>
    <t>https://www.sanskardham.org/sports/</t>
  </si>
  <si>
    <t>Dronacharya Academy of Archery and Shooting (DASA) - Gujarat University Sports City</t>
  </si>
  <si>
    <t>Sardar Patel Sports City, Gujarat University Campus, Navrangpura, Ahmedabad, Gujarat 380009</t>
  </si>
  <si>
    <t>+91 79 2630 1341</t>
  </si>
  <si>
    <t>info@gujaratuniversity.ac.in</t>
  </si>
  <si>
    <t>Monday - Saturday: 07:00 AM - 06:00 PM</t>
  </si>
  <si>
    <t>Recurve, Compound</t>
  </si>
  <si>
    <t>10m, 18m, 30m, 50m, 70m</t>
  </si>
  <si>
    <t>Youth &amp; University Students</t>
  </si>
  <si>
    <t>Intermediate / Advanced / State &amp; National Level</t>
  </si>
  <si>
    <t>https://www.gujaratuniversity.ac.in/OlympicStandardSportsActivities</t>
  </si>
  <si>
    <t>SGVP Campus, Near SGVP Circle, Opposite Nirma University, SG Highway, Chharodi, Gota, Ahmedabad, Gujarat 382481</t>
  </si>
  <si>
    <t>+91 98252 10038</t>
  </si>
  <si>
    <t>https://amd.sgvp.org/</t>
  </si>
  <si>
    <t>Monday - Saturday: 09:00 AM - 07:00 PM</t>
  </si>
  <si>
    <t>10m, 18m, 30m, 50m</t>
  </si>
  <si>
    <t>5+ years (Kids &amp; Adults)</t>
  </si>
  <si>
    <t>https://amd.sgvp.org/beyond-academics/sports/</t>
  </si>
  <si>
    <t>1 R/C Apartment, Hirani Society, Behind Dharamnagar Post Office, Sabarmati, Ahmedabad, Gujarat 380005</t>
  </si>
  <si>
    <t>https://risingsportsacademy.com/</t>
  </si>
  <si>
    <t>https://www.google.com/maps/place/?q=place_id:ChIJq6rqYO2DXjkRqrMs7Qvy7Ow</t>
  </si>
  <si>
    <t>Recurve, Indian/Traditional</t>
  </si>
  <si>
    <t>10m, 18m, 30m</t>
  </si>
  <si>
    <t>5 to 18 years &amp; Adults</t>
  </si>
  <si>
    <t>Beginner / Intermediate / State Level</t>
  </si>
  <si>
    <t>https://risingsportsacademy.com/archery-coaching.html</t>
  </si>
  <si>
    <t>Kankaria Target Archery (AMC Vyayam Shala)</t>
  </si>
  <si>
    <t>Training Range</t>
  </si>
  <si>
    <t>AMC Vyayam Shala, Gate No. 3, Kankaria Lakefront, Maninagar, Ahmedabad, Gujarat 380022</t>
  </si>
  <si>
    <t>+91 79 2547 2444</t>
  </si>
  <si>
    <t>https://www.google.com/maps/place/?q=place_id:ChIJEbUj3MWFXjkRqzHWWiLeP5o</t>
  </si>
  <si>
    <t>Tuesday - Sunday: 09:00 AM - 10:00 PM</t>
  </si>
  <si>
    <t>6+ years (Children &amp; Adults)</t>
  </si>
  <si>
    <t>https://www.justdial.com/Ahmedabad/Kankaria-Target-Archery-Kankaria/079PXX79-XX79-200701214845-J5W6_BZDET</t>
  </si>
  <si>
    <t>Sports Authority of Gujarat (SAG) District Sports Centre</t>
  </si>
  <si>
    <t>SAG Centre, 25-26, Ghanshyam Villa Society, New Naroda, Nikol, Ahmedabad, Gujarat 382345</t>
  </si>
  <si>
    <t>+91 79 2325 4913</t>
  </si>
  <si>
    <t>Under-14, Under-17, Under-19 &amp; Adults</t>
  </si>
  <si>
    <t>Crowne Shooting &amp; Sports Academy</t>
  </si>
  <si>
    <t>Shayona Farm, Valad, Gujarat 382355</t>
  </si>
  <si>
    <t>+91 98981 90521</t>
  </si>
  <si>
    <t>http://www.gujaratshooting.com/</t>
  </si>
  <si>
    <t>https://www.google.com/maps/place/?q=place_id:ChIJ_z2P2C-BXjkRjrrCY1i8wDE</t>
  </si>
  <si>
    <t>Tuesday - Sunday: 07:00 AM - 06:00 PM</t>
  </si>
  <si>
    <t>https://www.instagram.com/athletes_sports_academy007/</t>
  </si>
  <si>
    <t>Opposite Suvas Caspia, Near Parikh Hospitals, Nikol, Ahmedabad, Gujarat 380049</t>
  </si>
  <si>
    <t>Gujarat State Archery Association (GSAA)</t>
  </si>
  <si>
    <t>A/25, Om Tower, 8th Floor, Near Star Bazar, Satellite Road, Satellite, Ahmedabad, Gujarat 380015</t>
  </si>
  <si>
    <t>+91 98792 72939</t>
  </si>
  <si>
    <t>sandeepjayswal3939@gmail.com</t>
  </si>
  <si>
    <t>https://indianarchery.org/</t>
  </si>
  <si>
    <t>Monday - Saturday: 10:00 AM - 06:00 PM</t>
  </si>
  <si>
    <t>https://api.indianarchery.info/uploads/images/img1765437562523.pdf</t>
  </si>
  <si>
    <t>Karnavati Club Ltd</t>
  </si>
  <si>
    <t>Sarkhej - Gandhinagar Highway, Opposite Shalby Hospital, Ashok Vatika, Ahmedabad, Gujarat 380058</t>
  </si>
  <si>
    <t>+91 79 2692 6152</t>
  </si>
  <si>
    <t>Monday - Sunday: 06:00 AM - 11:00 PM</t>
  </si>
  <si>
    <t>Members &amp; Coaching Trainees</t>
  </si>
  <si>
    <t>Rajpath Club Ltd</t>
  </si>
  <si>
    <t>Sarkhej - Gandhinagar Highway, Bodakdev, Ahmedabad, Gujarat 380059</t>
  </si>
  <si>
    <t>+91 79 2970 5484</t>
  </si>
  <si>
    <t>info@rajpathclub.com</t>
  </si>
  <si>
    <t>EKA Club / TransStadia Academies</t>
  </si>
  <si>
    <t>Gate No. 3, Kankaria Lake Front, Maninagar, Ahmedabad, Gujarat 380022</t>
  </si>
  <si>
    <t>Kids, Teens &amp; Adults</t>
  </si>
  <si>
    <t>+91 79 2685 0352</t>
  </si>
  <si>
    <t>Monday - Saturday: 06:00 AM - 09:00 PM</t>
  </si>
  <si>
    <t>https://www.justdial.com/Ahmedabad/Archery-Classes/nct-10019921</t>
  </si>
  <si>
    <t>Green Field, 3, Sindhu Bhavan Marg, Opposite Murli Restaurant, PRL Colony, Thaltej, Ahmedabad, Gujarat 380059</t>
  </si>
  <si>
    <t>Savita Cricket Training Facilities, Near Ratnam Royal, TP 44, Chandkheda, Ahmedabad, Gujarat 382424</t>
  </si>
  <si>
    <t>+91 87580 00688</t>
  </si>
  <si>
    <t>https://www.google.com/maps/place/?q=place_id:ChIJy-2mu--DXjkRp-C_KeXK4U0</t>
  </si>
  <si>
    <t>Monday - Sunday: 06:00 AM - 08:30 PM</t>
  </si>
  <si>
    <t>Children, Teens &amp; Youth</t>
  </si>
  <si>
    <t>https://sportsplus.in/showview/643</t>
  </si>
  <si>
    <t>YMCA International Centre</t>
  </si>
  <si>
    <t>Members &amp; Trainees</t>
  </si>
  <si>
    <t>The Sports Club of Gujarat Ltd</t>
  </si>
  <si>
    <t>CST Archery Academy</t>
  </si>
  <si>
    <t>Naroda GIDC Phase 3, Naroda, Ahmedabad, Gujarat 382330</t>
  </si>
  <si>
    <t>+91 89559 69159</t>
  </si>
  <si>
    <t>http://www.cstsportsraj.in/</t>
  </si>
  <si>
    <t>https://www.justdial.com/Ahmedabad/Archery-Coach/nct-11616336</t>
  </si>
  <si>
    <t>Ahmedabad District Archery Association</t>
  </si>
  <si>
    <t>C/O Gujarat State Archery Association, Satellite Road, Satellite, Ahmedabad, Gujarat 380015</t>
  </si>
  <si>
    <t>Partially Verifed</t>
  </si>
  <si>
    <t>Weapons / Disciplines Taught</t>
  </si>
  <si>
    <t>Range Distance Facility</t>
  </si>
  <si>
    <t>The Ahmedabad Military And Rifle Training Association (Khanpur Rifle Club)</t>
  </si>
  <si>
    <t>Shooting</t>
  </si>
  <si>
    <t>Rifle Club</t>
  </si>
  <si>
    <t>Military Education Campus, Mahaveer Marg, Near Cama Hotel, Old City, Khanpur, Ahmedabad, Gujarat 380001</t>
  </si>
  <si>
    <t>+91 79 2560 1992</t>
  </si>
  <si>
    <t>rifleclub@gmail.com</t>
  </si>
  <si>
    <t>https://www.rifleclubahmedabad.com/</t>
  </si>
  <si>
    <t>Monday - Saturday: 11:00 AM - 3:45 PM &amp; 6:00 PM - 9:00 PM</t>
  </si>
  <si>
    <t>10m Air Rifle, 10m Air Pistol, 25m Small Bore Pistol, 50m Rifle, Civilian Firearms Defense</t>
  </si>
  <si>
    <t>10m Indoor (30 lanes), 25m &amp; 50m Outdoor/Semi-Indoor Range</t>
  </si>
  <si>
    <t>10+ Years &amp; Adults</t>
  </si>
  <si>
    <t>AdhirajSingh Shooting Academy (Thunderbolt Shooting Academy @ ARA)</t>
  </si>
  <si>
    <t>Ahmedabad Racquet Academy (ARA), Sindhu Bhavan Marg, opp. Murli Restaurant, PRL Colony, Thaltej, Ahmedabad, Gujarat 380059</t>
  </si>
  <si>
    <t>https://www.racquetacademy.in/service-page/rifle-shooting</t>
  </si>
  <si>
    <t>Monday - Saturday: 7:00 AM - 11:00 AM &amp; 4:00 PM - 8:00 PM</t>
  </si>
  <si>
    <t>10m Air Rifle, 10m Air Pistol</t>
  </si>
  <si>
    <t>10m Indoor Range</t>
  </si>
  <si>
    <t>8+ Years to Adults</t>
  </si>
  <si>
    <t>Shooting Range, Operated by Ahmedabad District Rifle Association (ADRA Khokhra)</t>
  </si>
  <si>
    <t>Sports Complex, Gujarat Sports Council Premises, Near Khokhra Circle, Ramkrishna Parmarth Marg, Maninagar East, Khokhra, Ahmedabad, Gujarat 380008</t>
  </si>
  <si>
    <t>+91 94278 94278</t>
  </si>
  <si>
    <t>info@theadra.in</t>
  </si>
  <si>
    <t>https://www.theadra.in/</t>
  </si>
  <si>
    <t>@adra_shooting</t>
  </si>
  <si>
    <t>10m Indoor Range (11 manual lanes &amp; 10 SIUS Electronic Target lanes)</t>
  </si>
  <si>
    <t>Ahmedabad District Rifle Association (ADRA HQ)</t>
  </si>
  <si>
    <t>Opp. Pragati Society, nr. Mira Char Rasta, Pushpkunj, Maninagar, Ahmedabad, Gujarat 380028</t>
  </si>
  <si>
    <t>http://www.theadra.in/</t>
  </si>
  <si>
    <t>Monday - Saturday: 10:00 AM - 6:00 PM</t>
  </si>
  <si>
    <t>10m Air Rifle, 10m Air Pistol, Small Bore Arms (.22 LR), Trap / Clay Pigeon</t>
  </si>
  <si>
    <t>10m, 25m, 50m, Trap (via affiliated ranges)</t>
  </si>
  <si>
    <t>All Age Groups (Sub-Junior, Youth, Junior, Senior, Master)</t>
  </si>
  <si>
    <t>Rajput Shooting &amp; Sports Academy (Bulls Eye)</t>
  </si>
  <si>
    <t>Club O7, Off SP Ring Road, Shela, Ahmedabad, Gujarat 380058</t>
  </si>
  <si>
    <t>Shela / Bopal</t>
  </si>
  <si>
    <t>+91 92281 52051</t>
  </si>
  <si>
    <t>colsushilkumar64@gmail.com</t>
  </si>
  <si>
    <t>https://www.rajputsportsacademy.com/</t>
  </si>
  <si>
    <t>Tuesday - Sunday: 7:00 AM - 12:00 PM &amp; 4:00 PM - 8:00 PM</t>
  </si>
  <si>
    <t>10m Indoor Air Weapon Range</t>
  </si>
  <si>
    <t>Gun For Glory Shooting Academy (GFG) - Sanskardham High-Performance Center</t>
  </si>
  <si>
    <t>Sanskardham Campus, Bopal-Sanand-Ghuma Road, Godhavi, Ahmedabad, Gujarat 382115</t>
  </si>
  <si>
    <t>Bopal / Godhavi</t>
  </si>
  <si>
    <t>+91 72760 33666</t>
  </si>
  <si>
    <t>info@gunforglory.in</t>
  </si>
  <si>
    <t>https://www.gunforglory.in/</t>
  </si>
  <si>
    <t>Tuesday - Sunday: 8:00 AM - 7:00 PM</t>
  </si>
  <si>
    <t>10m Electronic Target Air Weapon Range (SIUS target systems)</t>
  </si>
  <si>
    <t>Beginner / Intermediate / Advanced / High-Performance National &amp; Olympic Level</t>
  </si>
  <si>
    <t>Crowne Shooting &amp; Sports Academy (CSSA)</t>
  </si>
  <si>
    <t>Shayona Farm, Valad, Ahmedabad-Gandhinagar SP Ring Road, Gujarat 382355</t>
  </si>
  <si>
    <t>Valad / SP Ring Road North</t>
  </si>
  <si>
    <t>info@gujaratshooting.com</t>
  </si>
  <si>
    <t>@crownegujarat</t>
  </si>
  <si>
    <t>Tuesday - Sunday: 7:00 AM - 6:00 PM</t>
  </si>
  <si>
    <t>Shotgun (Trap, Double Trap, Skeet), 10m Air Rifle, 10m Air Pistol</t>
  </si>
  <si>
    <t>ISSF Standard Shotgun Trench Range &amp; 10m Indoor Air Weapon Range</t>
  </si>
  <si>
    <t>Karmaveer Education and Sports Federation - Shooting Range</t>
  </si>
  <si>
    <t>O-401, 4th floor, Silicon Hills, PDPU Rd, Koba, Gujarat 382426</t>
  </si>
  <si>
    <t>PDPU Road / Koba</t>
  </si>
  <si>
    <t>+91 93271 80018</t>
  </si>
  <si>
    <t>karmaveersports@gmail.com</t>
  </si>
  <si>
    <t>https://maps.google.com/?cid=12920275815598692770</t>
  </si>
  <si>
    <t>Monday - Saturday: 6:00 AM - 8:00 PM; Sunday: 7:00 AM - 12:00 PM</t>
  </si>
  <si>
    <t>10m Indoor Shooting Range</t>
  </si>
  <si>
    <t>Kids, Students, Adults, Senior Citizens</t>
  </si>
  <si>
    <t>Gujarat University Shooting Range (Dronacharya Institute of Sports)</t>
  </si>
  <si>
    <t>Dronacharya Institute of Sports Campus, Gujarat University, Navrangpura, Ahmedabad, Gujarat 380009</t>
  </si>
  <si>
    <t>+91 73830 25370</t>
  </si>
  <si>
    <t>Monday - Saturday: 7:00 AM - 6:00 PM</t>
  </si>
  <si>
    <t>10m Air Rifle, 10m Air Pistol, 25m Pistol, 50m Small Bore Rifle</t>
  </si>
  <si>
    <t>10m Indoor, 25m &amp; 50m Small Bore Ranges</t>
  </si>
  <si>
    <t>College Students, Youth, Adults</t>
  </si>
  <si>
    <t>Saarthi Rifle Shooting Academy</t>
  </si>
  <si>
    <t>B/305-309, 3rd Floor, Above Syndicate Bank, Kudasan, Gandhinagar / North Ahmedabad Axis, Gujarat 382419</t>
  </si>
  <si>
    <t>Kudasan / North Ahmedabad Corridor</t>
  </si>
  <si>
    <t>+91 79846 14908</t>
  </si>
  <si>
    <t>saarthirifle@gmail.com</t>
  </si>
  <si>
    <t>https://maps.google.com/?cid=9122394747065970838</t>
  </si>
  <si>
    <t>Eklavya Sports Academy - Shooting Facility (AUDA PPP Project)</t>
  </si>
  <si>
    <t>+91 79 2685 8899</t>
  </si>
  <si>
    <t>http://www.wellocity.com/facility-project-1.html</t>
  </si>
  <si>
    <t>Tuesday - Sunday: 6:00 AM - 9:00 PM</t>
  </si>
  <si>
    <t>School Children, Youth, Adults</t>
  </si>
  <si>
    <t>Aamsaran Rifle &amp; Adventure Sports Academy (ARASA)</t>
  </si>
  <si>
    <t>ARASA Range, Near Meshvo Bridge, Amsaran, Gujarat 387130</t>
  </si>
  <si>
    <t>Amsaran / East Outskirts</t>
  </si>
  <si>
    <t>+91 79 2543 1439</t>
  </si>
  <si>
    <t>contact@arasa.in</t>
  </si>
  <si>
    <t>http://www.arasa.in/</t>
  </si>
  <si>
    <t>Tuesday - Sunday: 8:00 AM - 5:00 PM</t>
  </si>
  <si>
    <t>Shotgun (Trap Shooting), Clay Target, .22 Small Bore Rifle, 10m Air Rifle/Pistol</t>
  </si>
  <si>
    <t>Outdoor Clay Target Trench &amp; Small Bore Range</t>
  </si>
  <si>
    <t>Savvy Swaraaj Sports Club - Shooting Range</t>
  </si>
  <si>
    <t>Aries Enterprise Range &amp; Sports Facility</t>
  </si>
  <si>
    <t>GF Shop No. 9, Choice Restaurants Building, Satellite Road, Niyojan Nagar, Nehru Nagar, Ambawadi, Ahmedabad, Gujarat 380015</t>
  </si>
  <si>
    <t>Ambawadi / Nehru Nagar</t>
  </si>
  <si>
    <t>+91 91997 90555</t>
  </si>
  <si>
    <t>ariesenterprise.amd@gmail.com</t>
  </si>
  <si>
    <t>https://maps.google.com/?cid=10332857476839350152</t>
  </si>
  <si>
    <t>Monday - Saturday: 10:30 AM - 8:30 PM</t>
  </si>
  <si>
    <t>10m Air Pistol, 10m Air Rifle, CO2 Target Practice</t>
  </si>
  <si>
    <t>10m Indoor Target Practice Setup</t>
  </si>
  <si>
    <t>Beginner / Hobbyist / Intermediate</t>
  </si>
  <si>
    <t>Airgun and Slingshot Association of Gujarat</t>
  </si>
  <si>
    <t>B-504 ICB Island, Near Vandemataram Chowk, New S.G. Road, Gota, Ahmedabad, Gujarat 382481</t>
  </si>
  <si>
    <t>contact@airgunassociation.in</t>
  </si>
  <si>
    <t>https://mitr.co.in/ngos/airgun-and-slingshot-association-of-gujarati</t>
  </si>
  <si>
    <t>10m Air Rifle, 10m Air Pistol, Target Slingshot</t>
  </si>
  <si>
    <t>10m Air Weapon Firing Setup</t>
  </si>
  <si>
    <t>Youth &amp; School Students</t>
  </si>
  <si>
    <t>Asea Multi Sports Academy (Smashers Sports Arena)</t>
  </si>
  <si>
    <t>C/o Smashers Sports Arena, Nikol Naroda Road, Nikol Gam, Opp Nikol D-Mart, Ahmedabad, Gujarat 382350</t>
  </si>
  <si>
    <t>+91 79 4706 8282</t>
  </si>
  <si>
    <t>info@aseasports.org</t>
  </si>
  <si>
    <t>https://www.justdial.com/Ahmedabad/Asea-Multi-Sports-Academy-Nikol-Fire-Station-Oppnikol-D-Mart-Nikol-Gam/079PXX79-XX79-150925202340-M7T2_BZDET</t>
  </si>
  <si>
    <t>6+ Years to Adults</t>
  </si>
  <si>
    <t>DPS Bopal Rifle Shooting Range</t>
  </si>
  <si>
    <t>DPS Bopal Campus, Bopal Square, Opp ISRO, Bopal, Ahmedabad, Gujarat 380058</t>
  </si>
  <si>
    <t>+91 2717 230521</t>
  </si>
  <si>
    <t>dpsbopal@kalorex.org</t>
  </si>
  <si>
    <t>https://dpsbopal-ahd.edu.in/achievements/rifle-shooting/</t>
  </si>
  <si>
    <t>Monday - Saturday: 7:30 AM - 3:30 PM</t>
  </si>
  <si>
    <t>School Students (Ages 8-18)</t>
  </si>
  <si>
    <t>Beginner / Intermediate / SGFI &amp; State Level</t>
  </si>
  <si>
    <t>https://dpsbopal-ahd.edu.in/</t>
  </si>
  <si>
    <t>Shanti Asiatic School Shooting Range / Champion's Shooting Range</t>
  </si>
  <si>
    <t>Shanti Asiatic School Campus, Shela Road, Behind Decathlon Applewoods, Opp Vraj Gardens, Shela, Ahmedabad, Gujarat 380013</t>
  </si>
  <si>
    <t>+91 79 6170 0000</t>
  </si>
  <si>
    <t>info@shantiasiaticahmedabad.com</t>
  </si>
  <si>
    <t>https://www.shantiasiaticahmedabad.com/</t>
  </si>
  <si>
    <t>Monday - Saturday: 8:00 AM - 4:00 PM</t>
  </si>
  <si>
    <t>10m Indoor Target Range</t>
  </si>
  <si>
    <t>School Students &amp; Youth</t>
  </si>
  <si>
    <t>Shri Shakti Training Centre</t>
  </si>
  <si>
    <t>Shyamal Complex, Above Vijaya Bank, New C.G. Road, Opp Jantanagar, Chandkheda, Ahmedabad, Gujarat 382424</t>
  </si>
  <si>
    <t>Monday - Saturday: 7:00 AM - 7:00 PM</t>
  </si>
  <si>
    <t>10m Air Rifle Basics, Target Shooting</t>
  </si>
  <si>
    <t>10m Target Setup</t>
  </si>
  <si>
    <t>Youth &amp; Defense Aspirants</t>
  </si>
  <si>
    <t>Beginner / Marksmanship</t>
  </si>
  <si>
    <t>Udgamya Shooting Sports</t>
  </si>
  <si>
    <t>Opp. Pragati Society, Near Mira Char Rasta, Pushpkunj, Maninagar, Ahmedabad, Gujarat 380028</t>
  </si>
  <si>
    <t>Monday - Saturday: 8:00 AM - 6:00 PM</t>
  </si>
  <si>
    <t>10m Indoor Target Setup</t>
  </si>
  <si>
    <t>Youth &amp; Students</t>
  </si>
  <si>
    <t>Bang Bang Adventures - Air Rifle Shooting Range</t>
  </si>
  <si>
    <t>B/s Times Square Grand, Baghban Party Plot Rd, PRL Colony, Thaltej, Ahmedabad, Gujarat 380059</t>
  </si>
  <si>
    <t>+91 78788 81199</t>
  </si>
  <si>
    <t>info@bangbangadventures.com</t>
  </si>
  <si>
    <t>https://maps.google.com/?cid=16584285880479142106</t>
  </si>
  <si>
    <t>Monday - Sunday: 11:00 AM - 10:00 PM</t>
  </si>
  <si>
    <t>Air Rifle Target Shooting</t>
  </si>
  <si>
    <t>10m Target Practice Lanes</t>
  </si>
  <si>
    <t>Beginner / Recreational</t>
  </si>
  <si>
    <t>Gujarat State Rifle Association (GSRA) Headquarters</t>
  </si>
  <si>
    <t>Rifle Club, Near Cama Hotel, Khanpur, Ahmedabad, Gujarat 380001</t>
  </si>
  <si>
    <t>+91 98798 86079</t>
  </si>
  <si>
    <t>info@gsra.in</t>
  </si>
  <si>
    <t>https://www.gsra.in/</t>
  </si>
  <si>
    <t>10m Air Rifle, 10m Air Pistol, 25m, 50m, Shotgun</t>
  </si>
  <si>
    <t>State-level Administrative &amp; Technical Range Control</t>
  </si>
  <si>
    <t>State &amp; National Level / Officials &amp; Athletes Training</t>
  </si>
  <si>
    <t>https://www.google.com/maps/place/?q=place_id:ChIJl1KZo_GEXjkR5vDA9i2upck</t>
  </si>
  <si>
    <t>https://www.google.com/maps/place/?q=place_id:ChIJiWzgvr-HXjkR9KsQ5D5Fnuw</t>
  </si>
  <si>
    <t>https://www.google.com/maps/place/?q=place_id:ChIJ34EbysGFXjkRimZYaRgU8pA</t>
  </si>
  <si>
    <t>https://www.google.com/maps/place/?q=place_id:ChIJRz9VqfeZXjkRmIz3n65BMZo</t>
  </si>
  <si>
    <t>https://www.google.com/maps/place/?q=place_id:ChIJ208rv2-BXjkRwpnCCrqzOLM</t>
  </si>
  <si>
    <t>https://www.google.com/maps/place/?q=place_id:ChIJ2SDDLKkrXDkRltB33Y7kHp4</t>
  </si>
  <si>
    <t>https://www.google.com/maps/place/?q=place_id:ChIJpwFQb8dhXjkRNdE5V3tVvGY</t>
  </si>
  <si>
    <t>https://www.google.com/maps/place/?q=place_id:ChIJ63dHbSiFXjkRiB-cBgThRA4</t>
  </si>
  <si>
    <t>https://www.google.com/maps/place/?q=place_id:ChIJ6xAIahWHXjkRpjdx0jJJ-TA</t>
  </si>
  <si>
    <t>https://www.google.com/maps/place/?q=place_id:ChIJMYVc6o6bXjkRYR_w3UeTNag</t>
  </si>
  <si>
    <t>https://www.google.com/maps/place/?q=place_id:ChIJ5-ck9hSbXjkRxuY7kgIUOl0</t>
  </si>
  <si>
    <t>https://www.google.com/maps/place/?q=place_id:ChIJxy6HYHWbXjkR2lBct3kCYeY</t>
  </si>
  <si>
    <t>UnYes</t>
  </si>
  <si>
    <t>Lawn Tennis</t>
  </si>
  <si>
    <t>Institutional Tennis Academy / Municipal Foundation</t>
  </si>
  <si>
    <t>Near Sardar Patel Cricket Stadium, Sardar Patel Stadium Road, Opposite Golden Triangle Complex, Sardar Patel Colony, Navrangpura, Ahmedabad, Gujarat 380009</t>
  </si>
  <si>
    <t>+91 79 2960 1860 / +91 98242 54824 / +91 99099 13738</t>
  </si>
  <si>
    <t>info@actf.co.in / actftennis@gmail.com</t>
  </si>
  <si>
    <t>https://www.instagram.com/explore/locations/255655498/ahmedabad-city-tennis-foundation/</t>
  </si>
  <si>
    <t>https://www.google.com/maps/search/?api=1&amp;query=Ahmedabad+City+Tennis+Foundation+Navrangpura+Ahmedabad</t>
  </si>
  <si>
    <t>Monday – Saturday: 6:00 AM – 11:00 AM, 4:00 PM – 9:00 PM; Sunday: Closed</t>
  </si>
  <si>
    <t>9 Courts (4 Floodlit)</t>
  </si>
  <si>
    <t>Synthetic Hard Courts</t>
  </si>
  <si>
    <t>Kids (from 4–5 years), Juniors, Teens, Adults (All Ages)</t>
  </si>
  <si>
    <t>Grassroots, Beginner, Intermediate, Advanced, High Performance, AITA Tournament Training</t>
  </si>
  <si>
    <t>https://www.ranjittennis.com/coaching-centers</t>
  </si>
  <si>
    <t>High-Performance International Residential Academy / Tournament Venue</t>
  </si>
  <si>
    <t>Vaishnodevi Road, F.P 129, Shankus Farm, Swarnim Stone Road, Behind Spinny Park, Gota / Chharodi, SG Highway, Ahmedabad, Gujarat 382481</t>
  </si>
  <si>
    <t>Gota / Chharodi</t>
  </si>
  <si>
    <t>+91 99789 71919 / +91 98796 94633 / +91 90165 54890</t>
  </si>
  <si>
    <t>info@altevol.com / sales@altevol.com</t>
  </si>
  <si>
    <t>https://www.instagram.com/srt10.altevol/</t>
  </si>
  <si>
    <t>https://www.google.com/maps/search/?api=1&amp;query=SRT10+Altevol+Centre+of+Excellence+Gota+Ahmedabad</t>
  </si>
  <si>
    <t>Monday – Saturday: 7:00 AM – 9:00 PM; Sunday: Closed</t>
  </si>
  <si>
    <t>8 Courts (6 Hard + 2 Clay, Floodlit)</t>
  </si>
  <si>
    <t>Synthetic Hard (Plexipave) &amp; Red Clay Courts</t>
  </si>
  <si>
    <t>Kids (U-8, U-10, U-12), Teens (U-14 to U-18), Men &amp; Women Pro Tour</t>
  </si>
  <si>
    <t>Grassroots, Beginner, Intermediate, Advanced, High Performance, ITF World Tennis Tour &amp; AITA Nationals</t>
  </si>
  <si>
    <t>https://altevol.com/</t>
  </si>
  <si>
    <t>https://gsta.co.in/landingPage/send_inquiry</t>
  </si>
  <si>
    <t>Shaishya Tennis Academy (Shaishya Sports Academy)</t>
  </si>
  <si>
    <t>High-Performance Tennis Academy &amp; AITA Tournament Center</t>
  </si>
  <si>
    <t>Shaishya Tennis Academy, Lane of Aryavrat IV, In Lane, Aryavart IV Road, Opposite YMCA Club, Sarkhej - Gandhinagar Highway, Makarba, Ahmedabad, Gujarat 380058</t>
  </si>
  <si>
    <t>Makarba / SG Highway</t>
  </si>
  <si>
    <t>+91 88660 50100 / +91 96878 33737 / +91 81400 85032</t>
  </si>
  <si>
    <t>info@shaishya.com / shaishyainfo@gmail.com</t>
  </si>
  <si>
    <t>https://www.instagram.com/shaishyacademy/</t>
  </si>
  <si>
    <t>https://www.google.com/maps/search/?api=1&amp;query=Shaishya+Tennis+Academy+Makarba+Ahmedabad</t>
  </si>
  <si>
    <t>Monday – Saturday: 6:30 AM – 9:00 PM; Sunday: 7:00 AM – 11:00 AM</t>
  </si>
  <si>
    <t>6 Courts (4 Hard + 2 Clay, Floodlit)</t>
  </si>
  <si>
    <t>Synthetic Hard (DecoTurf) &amp; Clay Courts</t>
  </si>
  <si>
    <t>Kids (3–8 Red/Orange Ball), Juniors (8–14), Teens, Adults</t>
  </si>
  <si>
    <t>Grassroots, Beginner, Intermediate, Advanced, High Performance, AITA/ITF Circuits</t>
  </si>
  <si>
    <t>Private Racquet Sports Academy &amp; High-Performance Center</t>
  </si>
  <si>
    <t>Green Field, 3, Sindhu Bhavan Marg, Opposite Murli Restaurant, PRL Colony, Thaltej / Bodakdev, Ahmedabad, Gujarat 380059</t>
  </si>
  <si>
    <t>Thaltej / Sindhu Bhavan Road</t>
  </si>
  <si>
    <t>+91 84600 44222 / +91 75678 44222</t>
  </si>
  <si>
    <t>https://www.instagram.com/ahmedabadracquetacademy/</t>
  </si>
  <si>
    <t>https://www.google.com/maps/search/?api=1&amp;query=Ahmedabad+Racquet+Academy+Sindhu+Bhavan+Marg+Thaltej+Ahmedabad</t>
  </si>
  <si>
    <t>Monday – Sunday: 6:00 AM – 11:00 PM (Coaching: 6:00–10:00 AM &amp; 4:00–8:00 PM)</t>
  </si>
  <si>
    <t>7 Courts (Floodlit)</t>
  </si>
  <si>
    <t>Synthetic Hard Courts (DecoTurf / Acrylic)</t>
  </si>
  <si>
    <t>Kids (5–12), Teens, Adults, Professional Tournament Trainees</t>
  </si>
  <si>
    <t>Grassroots, Beginner, Intermediate, Advanced, High Performance Development</t>
  </si>
  <si>
    <t>High-Performance Tennis Academy &amp; Training Centre</t>
  </si>
  <si>
    <t>In-lane of Silver Brook, Near Shilaj Sky, Shilaj Circle / Shilaj Road, SP Ring Road, Thaltej / Shilaj, Ahmedabad, Gujarat 380059</t>
  </si>
  <si>
    <t>Shilaj / Thaltej</t>
  </si>
  <si>
    <t>+91 99789 81828 / +91 91009 07036</t>
  </si>
  <si>
    <t>altitudetennis.info@gmail.com / info@altitudetennisacademy.in</t>
  </si>
  <si>
    <t>https://www.instagram.com/altitudetennisacademy/</t>
  </si>
  <si>
    <t>https://www.google.com/maps/search/?api=1&amp;query=Altitude+Tennis+Academy+Shilaj+Road+Thaltej+Ahmedabad</t>
  </si>
  <si>
    <t>Monday – Saturday: 5:00 AM – 8:00 PM; Sunday: Closed</t>
  </si>
  <si>
    <t>10 Courts (4 Full-size Hard + 6 Mini, Floodlit)</t>
  </si>
  <si>
    <t>ITF Standard Synthetic Hard &amp; Clay Courts</t>
  </si>
  <si>
    <t>Kids (4–8 Mini Tennis), Juniors (U-10 to U-18), Adults, Professional Athletes</t>
  </si>
  <si>
    <t>Grassroots, Beginner, Intermediate, Advanced, High Performance, PTR Certification Workshops</t>
  </si>
  <si>
    <t>https://gsta.co.in/academy_controller/academy_dashboard1/10581</t>
  </si>
  <si>
    <t>Ace Tennis Academy (Pramesh Modi Tennis Academy)</t>
  </si>
  <si>
    <t>Residential &amp; High-Performance Tennis Academy</t>
  </si>
  <si>
    <t>Behind Ambe Mata Mandir, Near Palodiya / Rancharda, Thaltej-Science City Extension, Ahmedabad, Gujarat 382115</t>
  </si>
  <si>
    <t>Palodiya / Rancharda</t>
  </si>
  <si>
    <t>+91 96873 02323 / +91 98250 19900 / +91 70909 06464</t>
  </si>
  <si>
    <t>prameshmodi268@gmail.com</t>
  </si>
  <si>
    <t>https://www.instagram.com/acetennisacademy/</t>
  </si>
  <si>
    <t>https://www.google.com/maps/search/?api=1&amp;query=Ace+Tennis+Academy+Palodiya+Rancharda+Ahmedabad</t>
  </si>
  <si>
    <t>Monday – Friday, Sunday: 6:00 AM – 9:00 PM; Saturday: 6:30 AM – 9:00 PM</t>
  </si>
  <si>
    <t>7 Courts (3 Covered Clay, 3 Open Clay, 1 Hard)</t>
  </si>
  <si>
    <t>Clay Courts (Covered &amp; Open) &amp; Hard Courts</t>
  </si>
  <si>
    <t>Kids (5–16), Juniors, Teens, Adults, Professional Tournament Players</t>
  </si>
  <si>
    <t>Grassroots, Beginner, Intermediate, Advanced, High Performance, AITA/ITF Circuit, Residential Coaching</t>
  </si>
  <si>
    <t>https://gsta.co.in/tournament/category/index/1866/106</t>
  </si>
  <si>
    <t>Adani Sportsline Tennis Academy (Sabarmati Riverfront)</t>
  </si>
  <si>
    <t>Managed Municipal Sports Complex Coaching Academy</t>
  </si>
  <si>
    <t>Sabarmati Riverfront Sports Park, Near Rajnagar Society, Behind National Institute of Design (NID), Riverfront West, Paldi, Ahmedabad, Gujarat 380007</t>
  </si>
  <si>
    <t>Paldi / Riverfront West</t>
  </si>
  <si>
    <t>+91 79 2658 0000 / +91 79 2555 5555</t>
  </si>
  <si>
    <t>sportsline@adani.com</t>
  </si>
  <si>
    <t>https://www.google.com/maps/search/?api=1&amp;query=Sabarmati+Riverfront+Sports+Park+Paldi+Ahmedabad</t>
  </si>
  <si>
    <t>Monday – Sunday: 6:00 AM – 10:00 PM (Coaching: 6:00–10:00 AM &amp; 4:00–9:00 PM)</t>
  </si>
  <si>
    <t>4 Courts (Floodlit)</t>
  </si>
  <si>
    <t>Championship Synthetic Hard Courts</t>
  </si>
  <si>
    <t>Mini Tennis (3–7), Juniors (8–18), Adults (18+), Elite Trainees</t>
  </si>
  <si>
    <t>Grassroots, Mini-Tennis, Beginner, Intermediate, Advanced &amp; GSTA Circuit Prep</t>
  </si>
  <si>
    <t>Private Tennis Academy &amp; Multi-Sport High-Performance Center</t>
  </si>
  <si>
    <t>SRAG Sports Academy, Gurukul Road, Behind Vimerti Complex, Part 2, Sushil Nagar Society, Memnagar, Ahmedabad, Gujarat 380052</t>
  </si>
  <si>
    <t>Memnagar / Gurukul</t>
  </si>
  <si>
    <t>+91 98257 81077 / +91 79 2749 8107</t>
  </si>
  <si>
    <t>info@sragtennis.com / sragtennis@gmail.com</t>
  </si>
  <si>
    <t>https://www.instagram.com/explore/locations/101837494539169/srag-tennis-academy/</t>
  </si>
  <si>
    <t>https://www.google.com/maps/search/?api=1&amp;query=SRAG+Tennis+Academy+Memnagar+Ahmedabad</t>
  </si>
  <si>
    <t>Monday – Saturday: 6:00 AM – 10:00 AM, 4:00 PM – 9:00 PM; Sunday: 6:00 AM – 11:00 AM</t>
  </si>
  <si>
    <t>Kids (4–12), Juniors, Teens, Adults</t>
  </si>
  <si>
    <t>Grassroots, Beginner, Intermediate, Advanced, High-Performance Competitive Training</t>
  </si>
  <si>
    <t>Sports Association Tennis Academy / Public-Access Coaching Program</t>
  </si>
  <si>
    <t>Gurukul Road, Opposite IDBI Bank, Near Raymond Showroom &amp; Sunset Row House, Nilmani Society, Memnagar, Ahmedabad, Gujarat 380052</t>
  </si>
  <si>
    <t>Memnagar / Drive-in Road</t>
  </si>
  <si>
    <t>+91 94260 03788 / +91 98250 94119</t>
  </si>
  <si>
    <t>agetatennis@gmail.com</t>
  </si>
  <si>
    <t>https://www.instagram.com/explore/locations/ageta-tennis-academy/</t>
  </si>
  <si>
    <t>https://www.google.com/maps/search/?api=1&amp;query=Ageta+Tennis+Academy+Gurukul+Road+Memnagar+Ahmedabad</t>
  </si>
  <si>
    <t>Monday – Saturday: 6:00 AM – 9:00 AM, 4:00 PM – 9:00 PM; Sunday: Closed</t>
  </si>
  <si>
    <t>Synthetic Hard Courts &amp; Clay Courts</t>
  </si>
  <si>
    <t>Kids (4–12), Teens, Adults, Dedicated Women's Batches</t>
  </si>
  <si>
    <t>Grassroots, Beginner, Intermediate, Advanced, State Ranking Tournament Coaching</t>
  </si>
  <si>
    <t>https://discover.lyfskills.com/facilities/4070</t>
  </si>
  <si>
    <t>Gujarat University Tennis Centre (GUTC)</t>
  </si>
  <si>
    <t>University Sports Complex Tennis Academy</t>
  </si>
  <si>
    <t>Gujarat University Sports Complex, Vijay Cross Road, Opposite GMDC Ground, Near Helmet Circle, Navrangpura / University Area, Ahmedabad, Gujarat 380009</t>
  </si>
  <si>
    <t>Navrangpura / University Area</t>
  </si>
  <si>
    <t>+91 95120 44500 / +91 79 2630 1919</t>
  </si>
  <si>
    <t>sports@gujaratuniversity.ac.in / rhkapadiasports@gmail.com</t>
  </si>
  <si>
    <t>https://www.instagram.com/gujaratuniversity_official/</t>
  </si>
  <si>
    <t>https://www.google.com/maps/search/?api=1&amp;query=Gujarat+University+Sports+Complex+Navrangpura+Ahmedabad</t>
  </si>
  <si>
    <t>Monday – Saturday: 6:00 AM – 10:00 PM; Sunday: 7:00 AM – 10:00 AM</t>
  </si>
  <si>
    <t>10 Courts (7 Synthetic + 3 Clay)</t>
  </si>
  <si>
    <t>Synthetic Hard (Plexipave) &amp; Clay Courts</t>
  </si>
  <si>
    <t>Kids, University Students, Teens, Adults (Open to external public trainees)</t>
  </si>
  <si>
    <t>Grassroots, Beginner, Intermediate, Inter-University, AITA Ranking</t>
  </si>
  <si>
    <t>https://discover.lyfskills.com/classes/ahmedabad/in/university-area/tennis</t>
  </si>
  <si>
    <t>Advait Sports (Advait Tennis Academy)</t>
  </si>
  <si>
    <t>Private Tennis Academy &amp; Training Centre</t>
  </si>
  <si>
    <t>Behind Garden Homes, Near Shivalay-2 Bungalows, South Bopal, Bopal, Ahmedabad, Gujarat 380058</t>
  </si>
  <si>
    <t>+91 82004 26565 / +91 79907 79055 / +91 98793 50054</t>
  </si>
  <si>
    <t>https://www.instagram.com/advaitsports/</t>
  </si>
  <si>
    <t>https://www.google.com/maps/search/?api=1&amp;query=Advait+Sports+South+Bopal+Ahmedabad</t>
  </si>
  <si>
    <t>Monday – Friday: 6:30 AM – 9:30 AM, 3:30 PM – 8:00 PM; Saturday: 6:30 AM – 7:00 PM; Sunday: 6:00 AM – 12:00 PM</t>
  </si>
  <si>
    <t>5 Courts (Floodlit)</t>
  </si>
  <si>
    <t>Red Clay Courts</t>
  </si>
  <si>
    <t>5 to 25+ years &amp; Adult Masters (Kids, Juniors, Adults)</t>
  </si>
  <si>
    <t>https://gsta.co.in/academy_controller/academy_dashboard1/10</t>
  </si>
  <si>
    <t>Kabir Sports Academy (Kabir Tennis Academy)</t>
  </si>
  <si>
    <t>Private Tennis Academy / Sports Complex</t>
  </si>
  <si>
    <t>Kabir Sports Academy, Aarohi Club Road, Opposite Kabir Enclave, South Bopal, Bopal, Ahmedabad, Gujarat 380058</t>
  </si>
  <si>
    <t>+91 97276 79191 / +91 93280 74740</t>
  </si>
  <si>
    <t>kabirsportsacademy21@gmail.com</t>
  </si>
  <si>
    <t>https://www.instagram.com/kabirtennisacademy/</t>
  </si>
  <si>
    <t>https://www.google.com/maps/search/?api=1&amp;query=Kabir+Sports+Academy+South+Bopal+Ahmedabad</t>
  </si>
  <si>
    <t>Monday – Saturday: 6:00 AM – 9:00 PM; Sunday: 6:00 AM – 11:00 AM</t>
  </si>
  <si>
    <t>8 Courts (5 Red Clay + 3 Hard, Floodlit)</t>
  </si>
  <si>
    <t>Red Clay Courts &amp; Synthetic Hard Courts</t>
  </si>
  <si>
    <t>5 to 60+ years (Children, Juniors, Adults)</t>
  </si>
  <si>
    <t>Grassroots, Beginner, Intermediate, Advanced, High Performance, AITA/GSTA Tournament Training</t>
  </si>
  <si>
    <t>https://gsta.co.in/academy_controller/academy_dashboard1/21</t>
  </si>
  <si>
    <t>Neon Sports Academy – Bopal</t>
  </si>
  <si>
    <t>Near Stanza Tower, Behind Chitvan Society, Shela Road, South Bopal, Bopal, Ahmedabad, Gujarat 380058</t>
  </si>
  <si>
    <t>South Bopal / Bopal</t>
  </si>
  <si>
    <t>+91 97278 56565 / +91 97378 88808 / +91 98984 43538</t>
  </si>
  <si>
    <t>neonsportsacademy@gmail.com</t>
  </si>
  <si>
    <t>https://www.instagram.com/neonsportsacademy/</t>
  </si>
  <si>
    <t>https://www.google.com/maps/search/?api=1&amp;query=Neon+Sports+Academy+South+Bopal+Ahmedabad</t>
  </si>
  <si>
    <t>Monday – Sunday: 6:00 AM – 10:00 PM</t>
  </si>
  <si>
    <t>6 Courts (5 Clay + 1 Hard, Floodlit)</t>
  </si>
  <si>
    <t>Kids (5+ years), Youth, Adults, Seniors</t>
  </si>
  <si>
    <t>Grassroots, Beginner, Intermediate, Advanced, High Performance</t>
  </si>
  <si>
    <t>Neon Sports Academy – Science City</t>
  </si>
  <si>
    <t>Multi-Sports Academy &amp; Lawn Tennis Coaching Centre</t>
  </si>
  <si>
    <t>Aryaman Lane, Beside Anurita Bunglows, Science City to Hebatpur Road, Thaltej / Shilaj / Sola, Ahmedabad, Gujarat 380059</t>
  </si>
  <si>
    <t>https://www.google.com/maps/search/?api=1&amp;query=Neon+Sports+Academy+Science+City+Thaltej+Ahmedabad</t>
  </si>
  <si>
    <t>Monday – Saturday: 6:00 AM – 8:00 PM; Sunday: Closed</t>
  </si>
  <si>
    <t>Kids (4–14), Teens, Adults</t>
  </si>
  <si>
    <t>Grassroots, Beginner, Intermediate, Advanced, Tournament Skill Coaching</t>
  </si>
  <si>
    <t>Meet Joshi Tennis Academy (MJTA)</t>
  </si>
  <si>
    <t>Private Tennis Academy &amp; High-Performance Centre</t>
  </si>
  <si>
    <t>+91 92748 72644 / +91 97278 56565</t>
  </si>
  <si>
    <t>meet8105@gmail.com / meetjoshi97@gmail.com</t>
  </si>
  <si>
    <t>https://meetjoshitennisacademy.com/</t>
  </si>
  <si>
    <t>https://www.instagram.com/meetjoshitennisacademy/</t>
  </si>
  <si>
    <t>https://www.google.com/maps/search/?api=1&amp;query=Meet+Joshi+Tennis+Academy+Shela+Ahmedabad</t>
  </si>
  <si>
    <t>Monday – Saturday: 6:00 AM – 9:30 PM; Sunday: Closed / Match Play</t>
  </si>
  <si>
    <t>2 Courts (Floodlit)</t>
  </si>
  <si>
    <t>Kids (4–12 yrs), Juniors (U-14 to U-18), Adults, Senior Batches</t>
  </si>
  <si>
    <t>Grassroots, Beginner, Intermediate, Advanced, High Performance, ITF / Tournament Training</t>
  </si>
  <si>
    <t>Club O7 Tennis Centre (Grand O7)</t>
  </si>
  <si>
    <t>Premium Sports Club Coaching Academy &amp; Training Facility</t>
  </si>
  <si>
    <t>Club O7 Road, Off Sardar Patel Ring Road, Shela, Ahmedabad, Gujarat 380058</t>
  </si>
  <si>
    <t>Shela / Club O7 Area</t>
  </si>
  <si>
    <t>+91 79 7121 2121 / +91 93750 75109 / +91 95120 00077</t>
  </si>
  <si>
    <t>info@clubo7.com</t>
  </si>
  <si>
    <t>https://clubo7.com/</t>
  </si>
  <si>
    <t>https://www.instagram.com/clubo7_official/</t>
  </si>
  <si>
    <t>https://www.google.com/maps/search/?api=1&amp;query=Club+O7+Shela+Ahmedabad</t>
  </si>
  <si>
    <t>Monday – Sunday: 6:00 AM – 10:00 AM, 4:00 PM – 9:00 PM</t>
  </si>
  <si>
    <t>3 Courts (Floodlit)</t>
  </si>
  <si>
    <t>ITF Standard Acrylic Synthetic Hard Courts</t>
  </si>
  <si>
    <t>Kids (5+ years), Juniors, Adults, Club Members &amp; Enrolled Students</t>
  </si>
  <si>
    <t>Grassroots, Beginner, Intermediate, Advanced</t>
  </si>
  <si>
    <t>The R.H. Kapadia Sports Academy (RHKSA)</t>
  </si>
  <si>
    <t>Sports Academy / Tennis Coaching Complex</t>
  </si>
  <si>
    <t>Plot No. 906, Bopal – Ghuma Road, Opposite Sanskar Dham School, Near Manipur Underpass, Ghuma / Godhavi, Ahmedabad, Gujarat 382115</t>
  </si>
  <si>
    <t>Ghuma / Godhavi</t>
  </si>
  <si>
    <t>+91 95120 40608 / +91 95120 40606 / +91 75678 79797</t>
  </si>
  <si>
    <t>info@rhkapadiasportsacademy.com / rhksa1298@gmail.com</t>
  </si>
  <si>
    <t>https://rhkapadiasportsacademy.com/</t>
  </si>
  <si>
    <t>https://www.instagram.com/therhkapadiasports/</t>
  </si>
  <si>
    <t>https://www.google.com/maps/search/?api=1&amp;query=The+RH+Kapadia+Sports+Academy+Bopal+Ghuma+Road+Ahmedabad</t>
  </si>
  <si>
    <t>Monday – Sunday: 6:00 AM – 10:00 AM, 4:00 PM – 8:00 PM</t>
  </si>
  <si>
    <t>Kids (4+ years), Juniors, Adults, Senior Batches</t>
  </si>
  <si>
    <t>Vijayi Bharat Sports Academy – Sanskardham</t>
  </si>
  <si>
    <t>Institutional Sports Academy / High-Performance Centre</t>
  </si>
  <si>
    <t>Sanskardham Campus, Bopal-Ghuma-Sanand Road, Godhavi, Ahmedabad, Gujarat 382115</t>
  </si>
  <si>
    <t>Godhavi / Sanand Road</t>
  </si>
  <si>
    <t>+91 98799 91702 / +91 75750 31000 / +91 79 6813 0100</t>
  </si>
  <si>
    <t>sports@vijayibharat.org / info@sanskardham.org</t>
  </si>
  <si>
    <t>https://www.instagram.com/vijayibharatfoundation/</t>
  </si>
  <si>
    <t>https://www.google.com/maps/search/?api=1&amp;query=Vijayi+Bharat+Sports+Academy+Sanskardham+Godhavi+Ahmedabad</t>
  </si>
  <si>
    <t>Monday – Sunday: 5:30 AM – 11:30 PM (Coaching Batches: 6:00–9:30 AM, 4:00–7:30 PM)</t>
  </si>
  <si>
    <t>Kids (5+ years), School/College Students, Youths, Adults</t>
  </si>
  <si>
    <t>Grassroots, Beginner, Intermediate, Advanced, High Performance Pro</t>
  </si>
  <si>
    <t>Gulmohar Greens Golf &amp; Country Club Tennis Academy</t>
  </si>
  <si>
    <t>Country Club Coaching Academy &amp; Sports Facility</t>
  </si>
  <si>
    <t>Off Sarkhej-Sanand Highway, Next to Gokul-Vrindavan, Near Telav, Village Kolat, Sanand, Ahmedabad, Gujarat 382210</t>
  </si>
  <si>
    <t>Sanand Road / Telav / Kolat</t>
  </si>
  <si>
    <t>+91 96876 28050 / +91 96876 28051 / +91 79 6777 5555</t>
  </si>
  <si>
    <t>info@gulmohargreens.com / sports@gulmohargreens.com</t>
  </si>
  <si>
    <t>https://gulmohargreens.com/</t>
  </si>
  <si>
    <t>https://www.instagram.com/gulmohargreens/</t>
  </si>
  <si>
    <t>https://www.google.com/maps/search/?api=1&amp;query=Gulmohar+Greens+Golf+and+Country+Club+Sanand+Ahmedabad</t>
  </si>
  <si>
    <t>Tuesday – Sunday: 6:30 AM – 10:30 AM, 4:00 PM – 7:30 PM; Monday: Closed</t>
  </si>
  <si>
    <t>Acrylic Synthetic Hard Courts</t>
  </si>
  <si>
    <t>Junior Trainees (6–16 yrs), Youths, Adults (Open public packages available)</t>
  </si>
  <si>
    <t>Beginner, Intermediate, Advanced, Weekend High-Performance Clinics</t>
  </si>
  <si>
    <t>Karnavati Club Tennis Academy</t>
  </si>
  <si>
    <t>Premier Elite Sports Club / Private Coaching Academy</t>
  </si>
  <si>
    <t>Gandhinagar – Sarkhej Highway, Opposite Shalby Hospital, Ashok Vatika, Bodakdev / Mumatpura, Ahmedabad, Gujarat 380058</t>
  </si>
  <si>
    <t>SG Highway / Bodakdev</t>
  </si>
  <si>
    <t>+91 79 2692 6060 / +91 79 2699 9000</t>
  </si>
  <si>
    <t>info@karnavaticlub.com / club@karnavaticlub.com</t>
  </si>
  <si>
    <t>https://www.karnavaticlub.com/</t>
  </si>
  <si>
    <t>https://www.instagram.com/karnavaticlub_official/</t>
  </si>
  <si>
    <t>https://www.google.com/maps/search/?api=1&amp;query=Karnavati+Club+Sarkhej+Gandhinagar+Highway+Ahmedabad</t>
  </si>
  <si>
    <t>Monday – Sunday: 6:00 AM – 10:00 AM, 5:00 PM – 9:00 PM</t>
  </si>
  <si>
    <t>7 Courts (5 Hard + 2 Clay, Floodlit)</t>
  </si>
  <si>
    <t>Nova Turf Synthetic Hard Courts &amp; Clay Courts</t>
  </si>
  <si>
    <t>Kids (5+ years), Juniors, Adults &amp; Club Members</t>
  </si>
  <si>
    <t>Grassroots, Beginner, Intermediate, Advanced, Inter-Club Invitationals</t>
  </si>
  <si>
    <t>Rajpath Club Tennis Academy (Shrimali Tennis Academy)</t>
  </si>
  <si>
    <t>Premier Sports Club / Professional Academy Hub</t>
  </si>
  <si>
    <t>Sarkhej - Gandhinagar Highway, Opposite Iscon Temple, Bodakdev, Ahmedabad, Gujarat 380059</t>
  </si>
  <si>
    <t>+91 79 2686 8000 / +91 98250 45678</t>
  </si>
  <si>
    <t>rajpathclub@rajpathclub.com / tennis@rajpathclub.com</t>
  </si>
  <si>
    <t>https://rajpathclub.com/</t>
  </si>
  <si>
    <t>https://www.instagram.com/rajpathclubltd/</t>
  </si>
  <si>
    <t>https://www.google.com/maps/search/?api=1&amp;query=Rajpath+Club+Bodakdev+SG+Highway+Ahmedabad</t>
  </si>
  <si>
    <t>Tuesday – Sunday: 6:00 AM – 10:30 AM, 4:30 PM – 9:30 PM; Monday: Closed</t>
  </si>
  <si>
    <t>4 Courts (2 Hard + 2 Clay, Floodlit)</t>
  </si>
  <si>
    <t>Synthetic Hard (Rebound Ace / Acrylic) &amp; Red Clay</t>
  </si>
  <si>
    <t>Ages 5 to 60+ (Kids Batches, Elite Squads, Adults)</t>
  </si>
  <si>
    <t>Grassroots, Junior Competition, AITA Talent Series, State Circuits</t>
  </si>
  <si>
    <t>The Sports Club of Gujarat Tennis Academy</t>
  </si>
  <si>
    <t>Historic Metropolitan Sports Club &amp; Coaching Facility</t>
  </si>
  <si>
    <t>The Sports Club of Gujarat Ltd, Sardar Patel Stadium Road, Navrangpura, Ahmedabad, Gujarat 380014</t>
  </si>
  <si>
    <t>+91 79 2644 0371 / +91 79 2656 0597</t>
  </si>
  <si>
    <t>https://www.instagram.com/sportsclubofgujarat/</t>
  </si>
  <si>
    <t>https://www.google.com/maps/search/?api=1&amp;query=The+Sports+Club+of+Gujarat+Navrangpura+Ahmedabad</t>
  </si>
  <si>
    <t>Monday – Sunday: 6:00 AM – 11:00 AM, 4:00 PM – 10:00 PM</t>
  </si>
  <si>
    <t>Synthetic Hard Acrylic Topcoat Courts</t>
  </si>
  <si>
    <t>Juniors (6–18 yrs) &amp; Adults (Members &amp; Public Academy Trainees)</t>
  </si>
  <si>
    <t>Foundational Skill Building to State Championship Preparation</t>
  </si>
  <si>
    <t>https://www.sportsclub-gujarat.com/contact-us/</t>
  </si>
  <si>
    <t>YMCA International Centre Tennis Academy</t>
  </si>
  <si>
    <t>International Community &amp; Recreation Sports Complex</t>
  </si>
  <si>
    <t>YMCA International Centre, Sarkhej - Gandhinagar Highway, Makarba, Ahmedabad, Gujarat 380058</t>
  </si>
  <si>
    <t>+91 79 6900 0000 / +91 99049 86060</t>
  </si>
  <si>
    <t>info@ymcaic.com / sports@ymcaic.com</t>
  </si>
  <si>
    <t>https://www.instagram.com/ymcaahmedabad/</t>
  </si>
  <si>
    <t>https://www.google.com/maps/search/?api=1&amp;query=YMCA+International+Centre+Sarkhej+Gandhinagar+Highway+Makarba+Ahmedabad</t>
  </si>
  <si>
    <t>Monday – Sunday: 6:00 AM – 10:00 AM, 4:30 PM – 8:30 PM</t>
  </si>
  <si>
    <t>All-Weather Synthetic Hard Courts</t>
  </si>
  <si>
    <t>Ages 6 to 18 (Children &amp; Teens) + Adult Beginners/Intermediate</t>
  </si>
  <si>
    <t>Grassroots, Fundamentals, Junior Club Tournaments</t>
  </si>
  <si>
    <t>https://discover.lyfskills.com/facilities/4025</t>
  </si>
  <si>
    <t>Private High-Performance Sports Academy</t>
  </si>
  <si>
    <t>AISA-2, Lane of S.K. Farm, Behind Kensville Golf Academy / Rajpath Club Backside, Rajpath Rangoli Road, Bodakdev, Ahmedabad, Gujarat 380059</t>
  </si>
  <si>
    <t>aisaahmedabad@gmail.com</t>
  </si>
  <si>
    <t>https://www.instagram.com/explore/locations/aisa-sports-academy/</t>
  </si>
  <si>
    <t>https://www.google.com/maps/search/?api=1&amp;query=Ahmedabad+International+Sports+Academy+Bodakdev+Ahmedabad</t>
  </si>
  <si>
    <t>Monday – Saturday: 6:00 AM – 10:00 PM; Sunday: 7:00 AM – 12:00 AM</t>
  </si>
  <si>
    <t>International Standard Synthetic Hard Courts</t>
  </si>
  <si>
    <t>Kids (4+), Juniors, Teens, Adults, Professional Players</t>
  </si>
  <si>
    <t>https://playasport.in/academies/a08ab316-b3cb-42a3-998a-31083a0a5a95/aisa-professional-tennis-coaching-and-training-center</t>
  </si>
  <si>
    <t>Rising Star Tennis Academy (RSTA)</t>
  </si>
  <si>
    <t>Private Tennis Academy (GSTA Registered Academy #27)</t>
  </si>
  <si>
    <t>5, Tejdhara Bungalows, Opposite Prerna Tirth Derasar, Beside Ami Apartment, Satellite / Jodhpur Village, Ahmedabad, Gujarat 380015</t>
  </si>
  <si>
    <t>+91 63516 95702 / +91 99092 74020</t>
  </si>
  <si>
    <t>tanishambani.official@gmail.com / rsta.info@gmail.com</t>
  </si>
  <si>
    <t>https://www.instagram.com/risingstartennis/</t>
  </si>
  <si>
    <t>https://www.google.com/maps/search/?api=1&amp;query=Rising+Star+Tennis+Academy+Satellite+Ahmedabad</t>
  </si>
  <si>
    <t>Kids (U-8, U-10, U-12, U-14), Teens, Adults</t>
  </si>
  <si>
    <t>Grassroots, Beginner, Intermediate, Advanced, AITA / GSTA Tournament Prep</t>
  </si>
  <si>
    <t>https://gsta.co.in/academy_controller/academy_dashboard1/27</t>
  </si>
  <si>
    <t>Private Lawn Tennis Academy &amp; Coaching Centre</t>
  </si>
  <si>
    <t>2GH6+FPX, Unnamed Road, Near Prernatirth Derasar Road, Satellite, Ahmedabad, Gujarat 380015</t>
  </si>
  <si>
    <t>pitatennisacademy@gmail.com</t>
  </si>
  <si>
    <t>https://www.instagram.com/explore/locations/pita-tennis-academy/</t>
  </si>
  <si>
    <t>https://www.google.com/maps/search/?api=1&amp;query=PITA+Tennis+Academy+Prernatirth+Derasar+Road+Satellite+Ahmedabad</t>
  </si>
  <si>
    <t>Monday – Saturday: 7:00 AM – 9:30 AM, 5:00 PM – 11:00 PM; Sunday: Closed</t>
  </si>
  <si>
    <t>Kids (5–12), Teens, Adults (All Ages)</t>
  </si>
  <si>
    <t>https://tenniskhelo.com/academy/pita-tennis-academy-ahmedabad-gujarat</t>
  </si>
  <si>
    <t>Private Tennis Academy &amp; Coaching Centre</t>
  </si>
  <si>
    <t>Jodhpur Gam Road, Opposite Satyam Complex, Near Kidzee / Prernatirth Derasar, Satellite / Jodhpur Village, Ahmedabad, Gujarat 380015</t>
  </si>
  <si>
    <t>Jodhpur Village / Satellite</t>
  </si>
  <si>
    <t>info@smashsports.in</t>
  </si>
  <si>
    <t>https://www.instagram.com/smashsportsacademy/</t>
  </si>
  <si>
    <t>https://www.google.com/maps/search/?api=1&amp;query=Smash+Sports+Academy+Jodhpur+Village+Satellite+Ahmedabad</t>
  </si>
  <si>
    <t>Monday – Saturday: 6:00 AM – 9:00 AM, 4:00 PM – 10:00 PM; Sunday: Closed</t>
  </si>
  <si>
    <t>Red/Orange/Green Dot Kids (4–10 yrs), Juniors, Adults, Competitive Players</t>
  </si>
  <si>
    <t>Sundar Nagar, Near AEC / Naranpura Vistar, Naranpura, Ahmedabad, Gujarat 380013</t>
  </si>
  <si>
    <t>+91 99099 13738 / +91 98242 54824</t>
  </si>
  <si>
    <t>info@ranjittennis.com</t>
  </si>
  <si>
    <t>https://www.ranjittennis.com/</t>
  </si>
  <si>
    <t>https://www.instagram.com/explore/locations/navrang-tennis-academy/</t>
  </si>
  <si>
    <t>https://www.google.com/maps/search/?api=1&amp;query=Navrang+Tennis+Academy+Sundar+Nagar+Naranpura+Ahmedabad</t>
  </si>
  <si>
    <t>Kids (5+), Juniors, Teens, Adults</t>
  </si>
  <si>
    <t>CN Sports Academy (Sheth C. N. Vidyavihar)</t>
  </si>
  <si>
    <t>Institutional Sports Academy / Campus Coaching</t>
  </si>
  <si>
    <t>Sheth C. N. Vidyavihar Campus, Sheth Mangaldas Road, Ambawadi Bazar, Panchavati Society, Ambawadi, Ahmedabad, Gujarat 380006</t>
  </si>
  <si>
    <t>+91 97272 76898 / +91 79 2644 3031</t>
  </si>
  <si>
    <t>https://www.google.com/maps/search/?api=1&amp;query=Sheth+CN+Vidyavihar+Ambawadi+Ahmedabad</t>
  </si>
  <si>
    <t>Monday – Friday: 6:00 AM – 9:30 AM, 4:00 PM – 7:30 PM; Saturday: 6:00 AM – 11:00 AM; Sunday: Closed</t>
  </si>
  <si>
    <t>3 Courts</t>
  </si>
  <si>
    <t>Clay Courts &amp; Hard Courts</t>
  </si>
  <si>
    <t>Kids (5–16), School Juniors, Teens, Adults</t>
  </si>
  <si>
    <t>Grassroots, Beginner, Intermediate, Advanced School/District Level</t>
  </si>
  <si>
    <t>Tennis Coaching (Yuva Vikas &amp; Health Foundation - YV&amp;HF)</t>
  </si>
  <si>
    <t>Non-Profit Trust Sports Coaching Center</t>
  </si>
  <si>
    <t>Shahid Veer Kinariwala Marg, Opposite Gujarat Arts and Science College Cricket Ground, Near Parimal Garden, Ellisbridge, Ahmedabad, Gujarat 380006</t>
  </si>
  <si>
    <t>Ellisbridge / Ambawadi Border</t>
  </si>
  <si>
    <t>yvhftennis@gmail.com</t>
  </si>
  <si>
    <t>https://www.instagram.com/explore/locations/yvhf-tennis/</t>
  </si>
  <si>
    <t>https://www.google.com/maps/search/?api=1&amp;query=Tennis+Coaching+Shahid+Veer+Kinariwala+Marg+Ellisbridge+Ahmedabad</t>
  </si>
  <si>
    <t>Monday – Saturday: 6:00 AM – 10:00 AM, 4:30 PM – 7:30 PM; Sunday: Closed</t>
  </si>
  <si>
    <t>2 Courts</t>
  </si>
  <si>
    <t>Kids (from 4–5 years), Juniors, Teens, Adults</t>
  </si>
  <si>
    <t>Grassroots, Beginner, Intermediate</t>
  </si>
  <si>
    <t>https://discover.lyfskills.com/listing/26615</t>
  </si>
  <si>
    <t>Vihat Tennis Academy (Loyola Hall Ground)</t>
  </si>
  <si>
    <t>School-Ground Partnered Tennis Academy</t>
  </si>
  <si>
    <t>St. Xavier's High School Loyola Hall Grounds, Naranpura / University Road, Gopal Nagar, Ahmedabad, Gujarat 380013</t>
  </si>
  <si>
    <t>Naranpura / University Area Edge</t>
  </si>
  <si>
    <t>+91 98254 78912 / +91 79 2791 0588</t>
  </si>
  <si>
    <t>vihattennis@gmail.com</t>
  </si>
  <si>
    <t>https://www.instagram.com/explore/locations/vihat-tennis-academy/</t>
  </si>
  <si>
    <t>https://www.google.com/maps/search/?api=1&amp;query=St+Xaviers+Loyola+Hall+Ground+Naranpura+Ahmedabad</t>
  </si>
  <si>
    <t>Monday – Saturday: 6:00 AM – 8:00 AM, 3:00 PM – 8:00 PM; Sunday: 6:00 AM – 8:00 AM</t>
  </si>
  <si>
    <t>Hard Court &amp; Clay Courts</t>
  </si>
  <si>
    <t>Kids (5+), School Students, Teens, Adults</t>
  </si>
  <si>
    <t>Grassroots, Beginner, Intermediate, Interschool Tournament Coaching</t>
  </si>
  <si>
    <t>https://discover.lyfskills.com/listing/26706</t>
  </si>
  <si>
    <t>TFL Sports Academy</t>
  </si>
  <si>
    <t>Aryaman Bungalows Lane, Beside Anurita Bungalows, Science City to Shilaj Road, Thaltej / Shilaj, Ahmedabad, Gujarat 380059</t>
  </si>
  <si>
    <t>+91 85111 25223 / +91 97378 88808</t>
  </si>
  <si>
    <t>tflsportsacademy@gmail.com</t>
  </si>
  <si>
    <t>https://www.instagram.com/tflsportsacademy/</t>
  </si>
  <si>
    <t>https://www.google.com/maps/search/?api=1&amp;query=TFL+Sports+Academy+Science+City+Shilaj+Road+Ahmedabad</t>
  </si>
  <si>
    <t>Monday – Saturday: 6:00 AM – 11:00 PM; Sunday: Closed</t>
  </si>
  <si>
    <t>Kids (5+ yrs), Teens, Adults</t>
  </si>
  <si>
    <t>Beginner, Intermediate, Advanced, AITA Championship Series Training</t>
  </si>
  <si>
    <t>Private Tennis Coaching Academy</t>
  </si>
  <si>
    <t>Kiran Motors Lane, Near Sankalp Bunglows, Motera, Ahmedabad, Gujarat 380005</t>
  </si>
  <si>
    <t>https://www.instagram.com/evolution_tennis_academy/</t>
  </si>
  <si>
    <t>https://www.google.com/maps/search/?api=1&amp;query=Evolution+Tennis+Academy+Motera+Ahmedabad</t>
  </si>
  <si>
    <t>Monday – Saturday: 6:00 AM – 11:00 AM, 3:00 PM – 9:00 PM; Sunday: 8:00 AM – 11:00 AM</t>
  </si>
  <si>
    <t>3 Courts (2 Full + 1 Mini)</t>
  </si>
  <si>
    <t>Kids, Juniors, Teens, Adults (All Ages)</t>
  </si>
  <si>
    <t>Group Coaching, Private Coaching, One-on-One, High Performance</t>
  </si>
  <si>
    <t>https://playo.co/venues/ahmedabad/evolution-tennis-academy-motera-ahmedabad</t>
  </si>
  <si>
    <t>Private Tennis Academy &amp; Coaching Facility</t>
  </si>
  <si>
    <t>96, New CG Road, Nigam Nagar, Chandkheda, Ahmedabad, Gujarat 382424</t>
  </si>
  <si>
    <t>https://www.instagram.com/sweetspot_tennis_academy/</t>
  </si>
  <si>
    <t>https://www.google.com/maps/search/?api=1&amp;query=Sweetspot+Tennis+Coaching+Center+New+CG+Road+Chandkheda+Ahmedabad</t>
  </si>
  <si>
    <t>Monday – Saturday: 6:00 AM – 9:30 PM; Sunday: Closed</t>
  </si>
  <si>
    <t>Clay Courts &amp; Synthetic Hard Courts</t>
  </si>
  <si>
    <t>Kids (Ages 4+), Juniors, Teens, Adults</t>
  </si>
  <si>
    <t>Grassroots, Beginner, Intermediate, Advanced Player Development</t>
  </si>
  <si>
    <t>https://playo.co/venues/chandkheda-ahmedabad/Sweetspot-tennis-coaching-center-Chandkheda-ahmedabad</t>
  </si>
  <si>
    <t>Near H.B. Kapadiya School Circle, TP 44, Chandkheda, Ahmedabad, Gujarat 382424</t>
  </si>
  <si>
    <t>Chandkheda (TP 44)</t>
  </si>
  <si>
    <t>+91 99245 42200</t>
  </si>
  <si>
    <t>https://www.instagram.com/gktennisacademy/</t>
  </si>
  <si>
    <t>https://www.google.com/maps/search/?api=1&amp;query=GK+Tennis+Academy+TP+44+Chandkheda+Ahmedabad</t>
  </si>
  <si>
    <t>Monday – Thursday, Saturday – Sunday: 6:00 AM – 10:00 AM, 4:00 PM – 8:00 PM; Friday: 6:00 AM – 10:00 PM</t>
  </si>
  <si>
    <t>Hard Courts &amp; Clay Courts</t>
  </si>
  <si>
    <t>Kids, Juniors, Teens, Adults</t>
  </si>
  <si>
    <t>Grassroots, Beginner, Intermediate, Advanced &amp; Tournament Training</t>
  </si>
  <si>
    <t>https://www.bookmyplayer.com/tennis/gk-tennis-academy-%7C-top-tennis-academy-ahmedabad-academy-in-ahmedabad-gujarat-aid-11735</t>
  </si>
  <si>
    <t>Multi-Sports Academy &amp; Tennis Training Facility</t>
  </si>
  <si>
    <t>Opposite Aakruti Elegance, Near Godrej Garden City Road, Tragad / Jagatpur, Ahmedabad, Gujarat 382470</t>
  </si>
  <si>
    <t>Jagatpur / Tragad</t>
  </si>
  <si>
    <t>https://www.instagram.com/lakshyasportsacademy/</t>
  </si>
  <si>
    <t>https://www.google.com/maps/search/?api=1&amp;query=Lakshya+Sports+Academy+Godrej+Garden+City+Jagatpur+Ahmedabad</t>
  </si>
  <si>
    <t>Monday – Saturday: 6:00 AM – 11:30 PM; Sunday: 6:00 AM – 11:00 PM</t>
  </si>
  <si>
    <t>Grassroots, Beginner, Intermediate, Advanced Player Mentorship</t>
  </si>
  <si>
    <t>https://playo.co/venues/jagatpur/lakshya-sports-academy-jagatpur-ahmedabad</t>
  </si>
  <si>
    <t>Institutional Sports Complex &amp; Tennis Academy</t>
  </si>
  <si>
    <t>SGVP Campus, Near SGVP Circle, Sarkhej - Gandhinagar Highway, Opp. Nirma University, Chharodi / Gota Road, Ahmedabad, Gujarat 382481</t>
  </si>
  <si>
    <t>Chharodi / SG Highway</t>
  </si>
  <si>
    <t>+91 99099 29049 / +91 79 2717 242000</t>
  </si>
  <si>
    <t>sports@sgvp.org / info@sgvp.org</t>
  </si>
  <si>
    <t>http://sports.sgvp.org/</t>
  </si>
  <si>
    <t>https://www.instagram.com/sgvpsuryasportsacademy/</t>
  </si>
  <si>
    <t>https://www.google.com/maps/search/?api=1&amp;query=SGVP+Surya+Sports+Academy+SG+Highway+Chharodi+Ahmedabad</t>
  </si>
  <si>
    <t>Monday – Saturday: 6:00 AM – 11:00 AM, 4:00 PM – 7:30 PM; Sunday: Closed</t>
  </si>
  <si>
    <t>Synthetic Hard Courts (DecoTurf / Acrylic Surface)</t>
  </si>
  <si>
    <t>Kids (U-10 to U-14), Teens (U-16, U-18), Open Public Batches</t>
  </si>
  <si>
    <t>Grassroots, Beginner, Intermediate, State &amp; National Championship Training</t>
  </si>
  <si>
    <t>Township Sports Club &amp; Coaching Academy</t>
  </si>
  <si>
    <t>Savvy Swaraaj Integrated Township, Near Nirma University, Off SG Highway, Gota / Jagatpur, Ahmedabad, Gujarat 382470</t>
  </si>
  <si>
    <t>+91 79 4000 2900 / +91 89800 09188</t>
  </si>
  <si>
    <t>https://www.instagram.com/savvyswaraajsportsclub/</t>
  </si>
  <si>
    <t>https://www.google.com/maps/search/?api=1&amp;query=Savvy+Swaraaj+Sports+Club+Gota+Ahmedabad</t>
  </si>
  <si>
    <t>Monday – Sunday: 6:00 AM – 10:00 PM (Morning: 6:30–8:30 AM; Evening: 4:30–7:00 PM)</t>
  </si>
  <si>
    <t>Kids (Ages 5+), Juniors, Teens, Adults</t>
  </si>
  <si>
    <t>Grassroots, Beginner, Intermediate, Skill &amp; Fitness Development</t>
  </si>
  <si>
    <t>AMC Tennis Academy (Chandlodiya)</t>
  </si>
  <si>
    <t>Civic / Municipal Sports Coaching Academy</t>
  </si>
  <si>
    <t>59-60, Gayatri Nagar, Near Chandlodiya Railway Station / Gota Road, Chandlodiya, Ahmedabad, Gujarat 382481</t>
  </si>
  <si>
    <t>Chandlodiya / Gota-Sola</t>
  </si>
  <si>
    <t>https://www.ahmedabadcity.gov.in/</t>
  </si>
  <si>
    <t>https://www.google.com/maps/search/?api=1&amp;query=AMC+Tennis+Court+Gayatri+Nagar+Chandlodiya+Ahmedabad</t>
  </si>
  <si>
    <t>Monday – Saturday: 6:00 AM – 9:00 PM; Sunday: Closed</t>
  </si>
  <si>
    <t>Hard Courts (Acrylic / Cement Coated)</t>
  </si>
  <si>
    <t>Children (Ages 5+), Juniors, Youth, Adults</t>
  </si>
  <si>
    <t>Grassroots, Beginner, Intermediate to Advanced Skill Development</t>
  </si>
  <si>
    <t>Private Sports Coaching Academy</t>
  </si>
  <si>
    <t>https://www.instagram.com/absportsacademy/</t>
  </si>
  <si>
    <t>https://www.google.com/maps/search/?api=1&amp;query=AB+Sports+Academy+Science+City+Sola+Ahmedabad</t>
  </si>
  <si>
    <t>1+ Court</t>
  </si>
  <si>
    <t>Hard Court / Synthetic</t>
  </si>
  <si>
    <t>Kids, Juniors, Adults (Multiple batch timings)</t>
  </si>
  <si>
    <t>Grassroots, Beginner, Intermediate, Professional Training Drills</t>
  </si>
  <si>
    <t>https://magicpin.in/Ahmedabad/Sola/Fitness/Ab-Sports-Aacademy/store/2204854</t>
  </si>
  <si>
    <t>The Belvedere Golf &amp; Country Club Tennis Academy</t>
  </si>
  <si>
    <t>Luxury Country Club Coaching Academy</t>
  </si>
  <si>
    <t>Adani Shantigram, SG Highway, Near Vaishnodevi Circle, Ahmedabad, Gujarat 382421</t>
  </si>
  <si>
    <t>Adani Shantigram / SG Highway</t>
  </si>
  <si>
    <t>+91 79 6651 5151 / +91 79 2555 5555</t>
  </si>
  <si>
    <t>thebelvedereclub@adani.com</t>
  </si>
  <si>
    <t>https://www.adanirealty.com/commercial/the-belvedere-club</t>
  </si>
  <si>
    <t>https://www.instagram.com/thebelvedereclub/</t>
  </si>
  <si>
    <t>https://www.google.com/maps/search/?api=1&amp;query=The+Belvedere+Golf+and+Country+Club+Adani+Shantigram+Ahmedabad</t>
  </si>
  <si>
    <t>Monday – Sunday: 6:00 AM – 10:00 PM (Coaching: 6:30–9:30 AM &amp; 4:30–8:30 PM)</t>
  </si>
  <si>
    <t>All-Weather Acrylic Hard Courts</t>
  </si>
  <si>
    <t>Children (5+), Teens, Adults, Corporate Trainees</t>
  </si>
  <si>
    <t>Beginner, Intermediate, Advanced, High-Performance Clinics</t>
  </si>
  <si>
    <t>TransStadia Tennis Academy / EKA Sports Academy</t>
  </si>
  <si>
    <t>Club Coaching Program / Multi-Sport Arena Academy</t>
  </si>
  <si>
    <t>EKA Arena by TransStadia, Opposite Gate No. 3, Kankaria Lake, Kankaria Road, Ahmedabad, Gujarat 380043</t>
  </si>
  <si>
    <t>+91 79 2545 4000 / +91 79 4900 0000</t>
  </si>
  <si>
    <t>info@ekaclub.net / academies@transstadia.com</t>
  </si>
  <si>
    <t>https://transstadiasports.com/transstadia-academies-sports/</t>
  </si>
  <si>
    <t>https://www.google.com/maps/search/?api=1&amp;query=EKA+Arena+by+TransStadia+Kankaria+Ahmedabad</t>
  </si>
  <si>
    <t>Monday – Saturday: 5:00 PM – 7:00 PM (General Facility: 6:00 AM – 10:00 PM)</t>
  </si>
  <si>
    <t>Juniors (Ages 5–16), Adults &amp; Members</t>
  </si>
  <si>
    <t>Grassroots, Beginner, Intermediate, Advanced &amp; Sports-Science-Backed</t>
  </si>
  <si>
    <t>STAG Tennis Academy (AMC Tennis Center Nikol)</t>
  </si>
  <si>
    <t>Municipal Sports Complex Coaching Academy / PPP</t>
  </si>
  <si>
    <t>AMC Tennis Court, Sarita Residency Road, Behind Umiya Residency, Near VIP International School, Ankur Chokadi, Nikol, Ahmedabad, Gujarat 380049</t>
  </si>
  <si>
    <t>https://www.google.com/maps/search/?api=1&amp;query=AMC+Tennis+Court+Sarita+Residency+Road+Nikol+Ahmedabad</t>
  </si>
  <si>
    <t>Monday – Saturday: 6:00 AM – 10:00 PM; Sunday: Closed</t>
  </si>
  <si>
    <t>Synthetic Hard Courts (Acrylic)</t>
  </si>
  <si>
    <t>Kids (4–12), Teens, Adults, All Skill Levels</t>
  </si>
  <si>
    <t>Grassroots, Beginner, Intermediate, Competitive Skill Development</t>
  </si>
  <si>
    <t>https://discover.lyfskills.com/listing/27518</t>
  </si>
  <si>
    <t>AMC Nirmal Tennis Academy (Ramol)</t>
  </si>
  <si>
    <t>Municipal Sports Facility / Private Academy Operator</t>
  </si>
  <si>
    <t>Shivam Pushkar Hill, Near Jashoda Nagar Cross Road, Ramol / Jashoda Nagar, Ahmedabad, Gujarat 382445</t>
  </si>
  <si>
    <t>Ramol / Jashoda Nagar</t>
  </si>
  <si>
    <t>https://www.google.com/maps/search/?api=1&amp;query=AMC+Tennis+Court+Shivam+Pushkar+Hill+Ramol+Ahmedabad</t>
  </si>
  <si>
    <t>Monday – Saturday: 6:00 AM – 9:00 PM; Sunday: 6:00 AM – 12:00 PM</t>
  </si>
  <si>
    <t>Hard Courts / Synthetic Surface</t>
  </si>
  <si>
    <t>Juniors (5–14), Teens, Adults</t>
  </si>
  <si>
    <t>https://discover.lyfskills.com/listing/27927</t>
  </si>
  <si>
    <t>Institutional Tennis Academy / School-Campus Coaching</t>
  </si>
  <si>
    <t>R P Vasani International School Campus, Vasani School Road, Near Radhe Shyam Residency, New Naroda / Nikol, Ahmedabad, Gujarat 382345</t>
  </si>
  <si>
    <t>info@rpvasani.org</t>
  </si>
  <si>
    <t>https://www.google.com/maps/search/?api=1&amp;query=R+P+Vasani+International+School+New+Naroda+Ahmedabad</t>
  </si>
  <si>
    <t>Hard Courts</t>
  </si>
  <si>
    <t>Kids (5–12), Teens, Adults (Open to public)</t>
  </si>
  <si>
    <t>https://discover.lyfskills.com/listing/27422</t>
  </si>
  <si>
    <t>District Sports Complex Khokhra (SAG Lawn Tennis Division)</t>
  </si>
  <si>
    <t>Government / Municipal Sports Complex (SAG)</t>
  </si>
  <si>
    <t>+91 79 2277 0000 / +91 79 2216 4140</t>
  </si>
  <si>
    <t>sagkhokhra@gujarat.gov.in</t>
  </si>
  <si>
    <t>https://www.instagram.com/sportsgujarat/</t>
  </si>
  <si>
    <t>https://www.google.com/maps/search/?api=1&amp;query=District+Sports+Complex+Khokhra+Circle+Maninagar+East+Ahmedabad</t>
  </si>
  <si>
    <t>Monday – Saturday: 6:00 AM – 10:00 AM, 4:00 PM – 8:00 PM; Sunday: Special Batches</t>
  </si>
  <si>
    <t>Hard Courts (Asphalt-Acrylic)</t>
  </si>
  <si>
    <t>Children (6–14), Juniors, District Squad Trainees</t>
  </si>
  <si>
    <t>Grassroots, Beginner, Intermediate, District/Khel Mahakumbh Championship Prep</t>
  </si>
  <si>
    <t>https://maps.google.com/?cid=5582386348911573076</t>
  </si>
  <si>
    <t>Municipal / State Sports Facility Coaching Program</t>
  </si>
  <si>
    <t>Behind Uttamnagar Garden, Daxini Society, Maninagar, Ahmedabad, Gujarat 380008</t>
  </si>
  <si>
    <t>+91 99042 53594</t>
  </si>
  <si>
    <t>sports@gtu.edu.in</t>
  </si>
  <si>
    <t>https://www.facebook.com/100057035636993</t>
  </si>
  <si>
    <t>Monday – Saturday: 6:00 AM – 10:00 AM, 4:00 PM – 7:30 PM</t>
  </si>
  <si>
    <t>Hard Courts / Compact Clay</t>
  </si>
  <si>
    <t>Juniors, High School &amp; College Students, Adults</t>
  </si>
  <si>
    <t>Beginner, Intermediate, Collegiate &amp; State Tournament Training</t>
  </si>
  <si>
    <t>The Ahmedabad Gymkhana Club Tennis Coaching</t>
  </si>
  <si>
    <t>Colonial Military/Civilian Heritage Gymkhana Club</t>
  </si>
  <si>
    <t>Army Cantonment Area, Opp. Camp Hanuman Mandir, Shahibaug, Ahmedabad, Gujarat 380004</t>
  </si>
  <si>
    <t>Shahibaug / Cantonment</t>
  </si>
  <si>
    <t>+91 79 2286 7161 / +91 76000 67161</t>
  </si>
  <si>
    <t>https://ahmedabadgymkhana.com/</t>
  </si>
  <si>
    <t>https://www.instagram.com/ahmedabadgymkhana/</t>
  </si>
  <si>
    <t>https://www.google.com/maps/search/?api=1&amp;query=The+Ahmedabad+Gymkhana+Club+Shahibaug+Ahmedabad</t>
  </si>
  <si>
    <t>Monday – Sunday: 6:30 AM – 10:00 AM, 4:30 PM – 9:00 PM</t>
  </si>
  <si>
    <t>Natural Red Clay &amp; Synthetic Surface</t>
  </si>
  <si>
    <t>Armed Forces Families, Club Members &amp; Enrolled Juniors (6–18)</t>
  </si>
  <si>
    <t>Beginner, Intermediate, Inter-Services &amp; Civilian Circuits</t>
  </si>
  <si>
    <t>Aekum Sports Academy (Tennis Wing)</t>
  </si>
  <si>
    <t>Private Tennis Academy &amp; Multi-Sport Complex</t>
  </si>
  <si>
    <t>17, Makarba Road, Makarba, Sarkhej-Okaf, Ahmedabad, Gujarat 382210</t>
  </si>
  <si>
    <t>Makarba</t>
  </si>
  <si>
    <t>https://www.instagram.com/aekumsportsacademy/</t>
  </si>
  <si>
    <t>https://www.google.com/maps/search/?api=1&amp;query=Aekum+Sports+Academy+Makarba+Ahmedabad</t>
  </si>
  <si>
    <t>Monday – Sunday: 6:00 AM – 1:00 AM (Coaching: 6:30–9:30 AM &amp; 4:30–8:30 PM)</t>
  </si>
  <si>
    <t>Kids (5+ yrs), Juniors, Adults (All Age Groups)</t>
  </si>
  <si>
    <t>Beginner, Intermediate, Advanced, Tournament Training</t>
  </si>
  <si>
    <t>Pradip Badminton &amp; Tennis Academy</t>
  </si>
  <si>
    <t>Private Multi-Sport Academy</t>
  </si>
  <si>
    <t>GST Railway Under Bridge, Opposite Shukan Smile City, Digvijaynagar, New Ranip, Ahmedabad, Gujarat 382470</t>
  </si>
  <si>
    <t>contact@pradipsportsacademy.com</t>
  </si>
  <si>
    <t>https://pradipsportsacademy.com/</t>
  </si>
  <si>
    <t>Monday – Sunday: 8:00 AM – 11:00 AM &amp; Evening Batches</t>
  </si>
  <si>
    <t>1 Multi-Sport Court</t>
  </si>
  <si>
    <t>Juniors, Teens, Adults</t>
  </si>
  <si>
    <t>https://www.justdial.com/Ahmedabad/Pradip-Badminton-And-Tennis-Academy-Opposite-Shukan-Smile-City-Ranip/079PXX79-XX79-251223173819-R7Q1_BZDET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</si>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</sst>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23181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/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/>
      <diagonal/>
    </border>
    <border>
      <left style="medium">
        <color rgb="FFCCCCCC"/>
      </left>
      <right style="medium">
        <color rgb="FF857370"/>
      </right>
      <top style="medium">
        <color rgb="FFCCCCCC"/>
      </top>
      <bottom style="medium">
        <color rgb="FF857370"/>
      </bottom>
      <diagonal/>
    </border>
    <border>
      <left/>
      <right style="medium">
        <color rgb="FF857370"/>
      </right>
      <top style="medium">
        <color rgb="FFCCCCCC"/>
      </top>
      <bottom style="medium">
        <color rgb="FF857370"/>
      </bottom>
      <diagonal/>
    </border>
    <border>
      <left style="medium">
        <color rgb="FFCCCCCC"/>
      </left>
      <right/>
      <top style="medium">
        <color rgb="FFCCCCCC"/>
      </top>
      <bottom style="medium">
        <color rgb="FF857370"/>
      </bottom>
      <diagonal/>
    </border>
    <border>
      <left/>
      <right style="medium">
        <color rgb="FF857370"/>
      </right>
      <top/>
      <bottom style="medium">
        <color rgb="FF857370"/>
      </bottom>
      <diagonal/>
    </border>
    <border>
      <left style="medium">
        <color rgb="FFCCCCCC"/>
      </left>
      <right style="medium">
        <color rgb="FF857370"/>
      </right>
      <top/>
      <bottom style="medium">
        <color rgb="FF857370"/>
      </bottom>
      <diagonal/>
    </border>
    <border>
      <left style="medium">
        <color rgb="FFCCCCCC"/>
      </left>
      <right/>
      <top/>
      <bottom style="medium">
        <color rgb="FF857370"/>
      </bottom>
      <diagonal/>
    </border>
    <border>
      <left/>
      <right style="medium">
        <color rgb="FF857370"/>
      </right>
      <top style="medium">
        <color rgb="FFCCCCCC"/>
      </top>
      <bottom/>
      <diagonal/>
    </border>
    <border>
      <left style="medium">
        <color rgb="FFCCCCCC"/>
      </left>
      <right style="medium">
        <color rgb="FF857370"/>
      </right>
      <top style="medium">
        <color rgb="FFCCCCCC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8" xfId="1" applyBorder="1" applyAlignment="1">
      <alignment wrapText="1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2" fillId="0" borderId="1" xfId="1" applyBorder="1" applyAlignment="1">
      <alignment horizontal="left"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wrapText="1"/>
    </xf>
    <xf numFmtId="0" fontId="2" fillId="0" borderId="8" xfId="1" applyBorder="1" applyAlignment="1">
      <alignment horizontal="left" wrapText="1"/>
    </xf>
    <xf numFmtId="0" fontId="1" fillId="0" borderId="9" xfId="0" applyFont="1" applyBorder="1" applyAlignment="1">
      <alignment horizontal="left" vertical="center"/>
    </xf>
    <xf numFmtId="0" fontId="0" fillId="0" borderId="0" xfId="0" applyAlignment="1"/>
    <xf numFmtId="0" fontId="2" fillId="0" borderId="3" xfId="1" applyBorder="1" applyAlignment="1">
      <alignment vertical="center" wrapText="1"/>
    </xf>
    <xf numFmtId="0" fontId="2" fillId="0" borderId="9" xfId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2" fillId="0" borderId="1" xfId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0" fillId="0" borderId="0" xfId="0" applyAlignment="1">
      <alignment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wrapText="1"/>
    </xf>
    <xf numFmtId="0" fontId="1" fillId="0" borderId="15" xfId="0" applyFont="1" applyFill="1" applyBorder="1" applyAlignment="1">
      <alignment wrapText="1"/>
    </xf>
    <xf numFmtId="0" fontId="6" fillId="0" borderId="19" xfId="0" applyFont="1" applyFill="1" applyBorder="1" applyAlignment="1">
      <alignment horizontal="center" wrapText="1"/>
    </xf>
    <xf numFmtId="0" fontId="6" fillId="0" borderId="20" xfId="0" applyFont="1" applyFill="1" applyBorder="1" applyAlignment="1">
      <alignment horizontal="center" wrapText="1"/>
    </xf>
    <xf numFmtId="0" fontId="6" fillId="0" borderId="21" xfId="0" applyFont="1" applyFill="1" applyBorder="1" applyAlignment="1">
      <alignment horizontal="center" wrapText="1"/>
    </xf>
    <xf numFmtId="0" fontId="7" fillId="0" borderId="17" xfId="0" applyFont="1" applyFill="1" applyBorder="1" applyAlignment="1">
      <alignment wrapText="1"/>
    </xf>
    <xf numFmtId="0" fontId="7" fillId="0" borderId="16" xfId="0" applyFont="1" applyFill="1" applyBorder="1" applyAlignment="1">
      <alignment horizontal="center" wrapText="1"/>
    </xf>
    <xf numFmtId="0" fontId="7" fillId="0" borderId="16" xfId="0" applyFont="1" applyFill="1" applyBorder="1" applyAlignment="1">
      <alignment wrapText="1"/>
    </xf>
    <xf numFmtId="0" fontId="7" fillId="0" borderId="18" xfId="0" applyFont="1" applyFill="1" applyBorder="1" applyAlignment="1">
      <alignment wrapText="1"/>
    </xf>
    <xf numFmtId="0" fontId="7" fillId="0" borderId="22" xfId="0" applyFont="1" applyFill="1" applyBorder="1" applyAlignment="1">
      <alignment wrapText="1"/>
    </xf>
    <xf numFmtId="0" fontId="7" fillId="0" borderId="23" xfId="0" applyFont="1" applyFill="1" applyBorder="1" applyAlignment="1">
      <alignment horizontal="center" wrapText="1"/>
    </xf>
    <xf numFmtId="0" fontId="7" fillId="0" borderId="23" xfId="0" applyFont="1" applyFill="1" applyBorder="1" applyAlignment="1">
      <alignment wrapText="1"/>
    </xf>
    <xf numFmtId="0" fontId="7" fillId="0" borderId="9" xfId="0" applyFont="1" applyFill="1" applyBorder="1" applyAlignment="1">
      <alignment wrapText="1"/>
    </xf>
    <xf numFmtId="0" fontId="1" fillId="0" borderId="11" xfId="0" applyFont="1" applyFill="1" applyBorder="1" applyAlignment="1">
      <alignment wrapText="1"/>
    </xf>
    <xf numFmtId="0" fontId="1" fillId="0" borderId="10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wrapText="1"/>
    </xf>
    <xf numFmtId="0" fontId="2" fillId="0" borderId="3" xfId="1" applyBorder="1" applyAlignment="1">
      <alignment wrapText="1"/>
    </xf>
  </cellXfs>
  <cellStyles count="2">
    <cellStyle name="Hyperlink" xfId="1" builtinId="8"/>
    <cellStyle name="Normal" xfId="0" builtinId="0"/>
  </cellStyles>
  <dxfs count="291"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border>
        <top style="medium">
          <color rgb="FFCCCCCC"/>
        </top>
      </border>
    </dxf>
    <dxf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/>
        <vertical style="medium">
          <color rgb="FFCCCCCC"/>
        </vertical>
        <horizontal style="medium">
          <color rgb="FFCCCCCC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border>
        <top style="medium">
          <color rgb="FFCCCCCC"/>
        </top>
      </border>
    </dxf>
    <dxf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/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D9D9D9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D9D9D9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border outline="0">
        <top style="medium">
          <color rgb="FFCCCCCC"/>
        </top>
      </border>
    </dxf>
    <dxf>
      <border outline="0"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medium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857370"/>
        </right>
        <top style="medium">
          <color rgb="FFCCCCCC"/>
        </top>
        <bottom style="medium">
          <color rgb="FF857370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857370"/>
        </left>
        <right style="medium">
          <color rgb="FF857370"/>
        </right>
        <top style="medium">
          <color rgb="FF857370"/>
        </top>
        <bottom style="medium">
          <color rgb="FF85737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3181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medium">
          <color rgb="FF85737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 style="medium">
          <color rgb="FFCCCCCC"/>
        </vertical>
        <horizontal style="medium">
          <color rgb="FFCCCCCC"/>
        </horizontal>
      </border>
    </dxf>
    <dxf>
      <border>
        <top style="medium">
          <color rgb="FFCCCCCC"/>
        </top>
      </border>
    </dxf>
    <dxf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/>
        <vertical style="medium">
          <color rgb="FFCCCCCC"/>
        </vertical>
        <horizontal style="medium">
          <color rgb="FFCCCCC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7A83D9-838C-4F31-8B19-BD4E14BAD8B0}" name="Table2" displayName="Table2" ref="A1:L64" totalsRowShown="0" headerRowDxfId="290" dataDxfId="288" headerRowBorderDxfId="289" tableBorderDxfId="287" totalsRowBorderDxfId="286">
  <autoFilter ref="A1:L64" xr:uid="{E47A83D9-838C-4F31-8B19-BD4E14BAD8B0}"/>
  <tableColumns count="12">
    <tableColumn id="1" xr3:uid="{805F7239-9DCA-4672-8216-C00625C2DA90}" name="Academy Name" dataDxfId="285"/>
    <tableColumn id="2" xr3:uid="{F1F31008-EB3C-449E-9DA9-BA6F7AE37663}" name="Sport" dataDxfId="284"/>
    <tableColumn id="3" xr3:uid="{C58E4152-CF82-45DB-B1CA-6E171C7B71DC}" name="Academy Type" dataDxfId="283"/>
    <tableColumn id="4" xr3:uid="{8D706263-3C34-48B8-81C0-B3AF4366BC15}" name="Full Address" dataDxfId="282"/>
    <tableColumn id="5" xr3:uid="{00EDB619-5C31-460B-B013-91F71D18CCF4}" name="Area / Locality" dataDxfId="281"/>
    <tableColumn id="6" xr3:uid="{B67C7AF7-05E7-4C82-AE23-2ACCF0FDE3C9}" name="City" dataDxfId="280"/>
    <tableColumn id="7" xr3:uid="{983D6784-9EE6-4948-B560-6F8F6B68D06F}" name="Contact Number" dataDxfId="279"/>
    <tableColumn id="11" xr3:uid="{A2887528-6F56-4234-A180-9200286F4883}" name="Email ID"/>
    <tableColumn id="12" xr3:uid="{48C9DE0A-CBBE-4A90-A740-981B202069A8}" name="Website"/>
    <tableColumn id="8" xr3:uid="{8EE4C12A-07E8-460C-BC84-9B78A23C21F4}" name="Google Maps Link" dataDxfId="278" dataCellStyle="Hyperlink"/>
    <tableColumn id="9" xr3:uid="{042DFB06-FD22-4300-AF04-78F588BDDC1A}" name="Verification Status" dataDxfId="277"/>
    <tableColumn id="10" xr3:uid="{CD368F1B-F981-440A-9FA9-CCF8BF4E3C62}" name="Primary Source" dataDxfId="27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ABE12-6FE8-4DEC-A606-5335BBCFAEDF}" name="Table1" displayName="Table1" ref="A1:P60" totalsRowShown="0" dataDxfId="275">
  <autoFilter ref="A1:P60" xr:uid="{DD0ABE12-6FE8-4DEC-A606-5335BBCFAEDF}"/>
  <tableColumns count="16">
    <tableColumn id="1" xr3:uid="{A547665E-A04E-4A16-93C8-992D2B900D26}" name="Academy Name" dataDxfId="274"/>
    <tableColumn id="2" xr3:uid="{EA8F48E6-2341-4C4D-8BDC-CD8FF54BC723}" name="Sport" dataDxfId="273"/>
    <tableColumn id="3" xr3:uid="{9E747BE0-CD94-4B97-AEBB-5746A2611193}" name="Academy Type" dataDxfId="272"/>
    <tableColumn id="4" xr3:uid="{0F76AA7B-AD00-4856-AA7C-CDAA3A94C4AC}" name="Full Address" dataDxfId="271"/>
    <tableColumn id="5" xr3:uid="{0F2B0475-3261-4BDD-9CEB-75B31B3A5015}" name="Area / Locality" dataDxfId="270"/>
    <tableColumn id="6" xr3:uid="{0D270B8A-1A3F-46CC-9000-3E5025F621AB}" name="City" dataDxfId="269"/>
    <tableColumn id="7" xr3:uid="{7C5AE753-1DDE-4B06-B9A2-E8E214F99ECE}" name="Contact Number" dataDxfId="268"/>
    <tableColumn id="8" xr3:uid="{7AC94EE6-FDCA-4D21-ABEB-DF6C4FBB6628}" name="Email Address" dataDxfId="267"/>
    <tableColumn id="9" xr3:uid="{9FB07166-2089-49F1-B035-F325460536BE}" name="Official Website" dataDxfId="266"/>
    <tableColumn id="10" xr3:uid="{BC8126EE-45E1-418C-8658-AEE40BEFEF60}" name="Instagram Profile" dataDxfId="265"/>
    <tableColumn id="12" xr3:uid="{7462D0E4-8234-4551-BF54-312809BC4CCD}" name="Google Maps Link" dataDxfId="264"/>
    <tableColumn id="13" xr3:uid="{2896E59E-6875-4AF9-80F5-0EE74622579E}" name="Operating Days &amp; Timings" dataDxfId="263"/>
    <tableColumn id="14" xr3:uid="{477EDE55-F878-4E61-A955-290CC09B0A22}" name="Age Groups" dataDxfId="262"/>
    <tableColumn id="15" xr3:uid="{9DE09C6D-ACCE-416B-A4AF-6A89768A82B7}" name="Coaching Level" dataDxfId="261"/>
    <tableColumn id="16" xr3:uid="{73F361C1-357D-4F2D-B7BF-32F20C68289A}" name="Verification Status" dataDxfId="260"/>
    <tableColumn id="17" xr3:uid="{429ED3C7-D7D5-4672-A262-E6F6D8877D5B}" name="Primary Source" dataDxfId="25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C2BCC5-447C-4A57-AA14-A9367EE99E0C}" name="Table3" displayName="Table3" ref="A1:L42" totalsRowShown="0" headerRowDxfId="258" headerRowBorderDxfId="257" tableBorderDxfId="256" totalsRowBorderDxfId="255">
  <autoFilter ref="A1:L42" xr:uid="{BDC2BCC5-447C-4A57-AA14-A9367EE99E0C}"/>
  <tableColumns count="12">
    <tableColumn id="1" xr3:uid="{8AA4B85C-9EA7-4A51-8F8E-4D674A73771A}" name="Academy Name" dataDxfId="254"/>
    <tableColumn id="2" xr3:uid="{58195DA3-4C76-437A-AAA5-84E8C247FD47}" name="Sport" dataDxfId="253"/>
    <tableColumn id="3" xr3:uid="{256D4395-89C7-49EA-9110-38EBE1290364}" name="Academy Type" dataDxfId="252"/>
    <tableColumn id="4" xr3:uid="{B1051B90-4747-49CB-88BA-2F7C2113FF58}" name="Full Address" dataDxfId="251"/>
    <tableColumn id="5" xr3:uid="{9879BCD0-2395-4016-821D-40D989DB7619}" name="Area / Locality" dataDxfId="250"/>
    <tableColumn id="6" xr3:uid="{4DD1B5B9-F600-42CA-B188-60C9C0337A13}" name="City" dataDxfId="249"/>
    <tableColumn id="7" xr3:uid="{453E9797-CBFC-47CD-8949-AE01B32A042B}" name="Contact Number" dataDxfId="248"/>
    <tableColumn id="8" xr3:uid="{C00D8203-51B2-4096-8BD8-0C4990B65F07}" name="Google Maps Link"/>
    <tableColumn id="9" xr3:uid="{47E520F8-C803-4F49-B674-F2F31F5CE9F4}" name="Website" dataDxfId="247" dataCellStyle="Hyperlink"/>
    <tableColumn id="10" xr3:uid="{13C17044-637F-47C2-81EC-30A76C12FCE3}" name="Email Address" dataDxfId="246"/>
    <tableColumn id="11" xr3:uid="{6D4DF4C1-1D9F-4A8F-BE66-45E39E4C8D9F}" name="Verification Status" dataDxfId="245"/>
    <tableColumn id="12" xr3:uid="{AD1CEB56-A71E-4233-ADC0-9C9A765A6C57}" name="Primary Source" dataDxfId="244" dataCellStyle="Hyperlin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227E4B-EDB0-4FDA-BA91-C0A24ABEA6B5}" name="Table4" displayName="Table4" ref="A1:P51" totalsRowShown="0" headerRowDxfId="243" dataDxfId="241" headerRowBorderDxfId="242" tableBorderDxfId="240" totalsRowBorderDxfId="239">
  <autoFilter ref="A1:P51" xr:uid="{F9227E4B-EDB0-4FDA-BA91-C0A24ABEA6B5}"/>
  <tableColumns count="16">
    <tableColumn id="1" xr3:uid="{DDE008F9-27D2-47E0-BCBB-4503D279B5AA}" name="Academy Name" dataDxfId="238"/>
    <tableColumn id="2" xr3:uid="{D931EE1E-74E5-4EB6-B97E-4E576C0001F7}" name="Sport" dataDxfId="237"/>
    <tableColumn id="3" xr3:uid="{F34201CD-64DB-4B79-9B43-B08E12F3BE71}" name="Academy Type" dataDxfId="236"/>
    <tableColumn id="4" xr3:uid="{4F5084EE-C1D5-452A-A787-FD05A018DFDB}" name="Full Address" dataDxfId="235"/>
    <tableColumn id="5" xr3:uid="{12585AD8-92D6-418B-BC07-E7805EC66233}" name="Area / Locality" dataDxfId="234"/>
    <tableColumn id="6" xr3:uid="{83E14665-7BED-434D-B881-CB6A4DA9FAB8}" name="City" dataDxfId="233"/>
    <tableColumn id="7" xr3:uid="{2A40124A-48F5-470F-A818-80CED07E413B}" name="Contact Number" dataDxfId="232"/>
    <tableColumn id="8" xr3:uid="{648EE1DD-283A-43C2-B11A-D2B62253DF3D}" name="Email Address" dataDxfId="231"/>
    <tableColumn id="9" xr3:uid="{E48DFA19-AC5E-4D83-AC2A-1958CB414632}" name="Official Website" dataDxfId="230" dataCellStyle="Hyperlink"/>
    <tableColumn id="11" xr3:uid="{40D09729-056B-4AF4-A437-29ED5D9EC0D6}" name="Google Maps Link"/>
    <tableColumn id="12" xr3:uid="{5A52EB6E-3E26-4CE3-9A2E-2A19463FED3B}" name="Operating Days &amp; Timings" dataDxfId="229"/>
    <tableColumn id="13" xr3:uid="{6D458681-7756-46D1-908E-77435C04A0D3}" name="Pool Size / Type" dataDxfId="228"/>
    <tableColumn id="14" xr3:uid="{2571B683-C05B-4371-B232-25D9A8107D37}" name="Age Groups" dataDxfId="227"/>
    <tableColumn id="15" xr3:uid="{550CDB7B-5448-4693-B804-3C65F7CE1D26}" name="Coaching Level" dataDxfId="226"/>
    <tableColumn id="16" xr3:uid="{09B50DEC-296E-49DF-85B6-CFFC56B66CAF}" name="Verification Status" dataDxfId="225"/>
    <tableColumn id="17" xr3:uid="{B2C70FFA-82CD-48F1-9339-2B7D7E90FCDB}" name="Primary Source" dataDxfId="22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DA5081-6CE3-4053-902F-5614F72CD942}" name="Table6" displayName="Table6" ref="A1:R47" totalsRowShown="0" headerRowDxfId="223" dataDxfId="221" headerRowBorderDxfId="222" tableBorderDxfId="220" totalsRowBorderDxfId="219">
  <autoFilter ref="A1:R47" xr:uid="{2BDA5081-6CE3-4053-902F-5614F72CD942}"/>
  <tableColumns count="18">
    <tableColumn id="1" xr3:uid="{3863F546-A728-451C-9F36-DD5A4EF30EDA}" name="Academy Name" dataDxfId="218"/>
    <tableColumn id="2" xr3:uid="{D0E4D5F0-F11E-4AF7-80A1-58218F23CA2A}" name="Sport" dataDxfId="217"/>
    <tableColumn id="3" xr3:uid="{5F451F40-34D6-4B37-8602-8CA24659DA29}" name="Academy Type" dataDxfId="216"/>
    <tableColumn id="4" xr3:uid="{5A0D566B-27F8-48F1-B89B-674A56661373}" name="Full Address" dataDxfId="215"/>
    <tableColumn id="5" xr3:uid="{8CB932BE-F7C1-43EA-9E80-0D6B1ADAE7DE}" name="Area / Locality" dataDxfId="214"/>
    <tableColumn id="6" xr3:uid="{E2985044-7506-4097-8FF4-7BCF7B889E7A}" name="City" dataDxfId="213"/>
    <tableColumn id="7" xr3:uid="{5B1E583D-9D6E-485F-BAF3-AD0D362AAB44}" name="Contact Number" dataDxfId="212"/>
    <tableColumn id="8" xr3:uid="{9C6BECB7-662A-43EE-B5D6-D83F4FDB37DC}" name="Email Address" dataDxfId="211"/>
    <tableColumn id="9" xr3:uid="{B1C1A9AB-5FF7-4658-B12C-F82460B64A84}" name="Official Website" dataDxfId="210" dataCellStyle="Hyperlink"/>
    <tableColumn id="10" xr3:uid="{49EBC00E-A173-4AF4-BBD9-48265EC34378}" name="Instagram Profile" dataDxfId="209"/>
    <tableColumn id="11" xr3:uid="{4F2551FE-D791-4302-A8EB-7BD43C9AD379}" name="Google Maps Link"/>
    <tableColumn id="12" xr3:uid="{99260D25-ED85-4134-974D-8100B73ACCFA}" name="Operating Days &amp; Timings" dataDxfId="208"/>
    <tableColumn id="13" xr3:uid="{7705BA0E-AF92-4E46-B69B-BB852B57242B}" name="Number of Courts" dataDxfId="207"/>
    <tableColumn id="14" xr3:uid="{7AB56BAD-0B1F-4DEA-BF7B-EB52485E785A}" name="Court Surface Type" dataDxfId="206"/>
    <tableColumn id="15" xr3:uid="{2B3E2F44-7487-4C9D-96B6-D63FD0E39404}" name="Age Groups" dataDxfId="205"/>
    <tableColumn id="16" xr3:uid="{F99A4276-0AB6-4D17-BAC1-555EBF8EE037}" name="Coaching Level" dataDxfId="204"/>
    <tableColumn id="17" xr3:uid="{4F1D3574-FD6C-421A-A9E6-1585482A463A}" name="Verification Status" dataDxfId="203"/>
    <tableColumn id="18" xr3:uid="{F11FA295-5470-48C7-AC0B-3028EC62EC34}" name="Primary Source" dataDxfId="202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5A7845-6E26-42E1-92F9-2266EB331AAB}" name="Table7" displayName="Table7" ref="A1:Q32" totalsRowShown="0" headerRowDxfId="201" dataDxfId="199" headerRowBorderDxfId="200" tableBorderDxfId="198" totalsRowBorderDxfId="197">
  <autoFilter ref="A1:Q32" xr:uid="{385A7845-6E26-42E1-92F9-2266EB331AAB}"/>
  <tableColumns count="17">
    <tableColumn id="1" xr3:uid="{DD536279-A3EF-4358-8D22-ED8B2794E88E}" name="Academy Name" dataDxfId="196"/>
    <tableColumn id="2" xr3:uid="{B4DA6DE0-97C0-4EEE-9F4D-CF24D06F4FC4}" name="Sport" dataDxfId="195"/>
    <tableColumn id="3" xr3:uid="{37B0F1B6-1B38-487C-9C66-42742D58A83F}" name="Academy Type" dataDxfId="194"/>
    <tableColumn id="4" xr3:uid="{9ED7BE47-7975-497D-8562-3EFE82589CAD}" name="Full Address" dataDxfId="193"/>
    <tableColumn id="5" xr3:uid="{78842E7C-9D18-495F-AB05-4FB7A5A73B94}" name="Area / Locality" dataDxfId="192"/>
    <tableColumn id="6" xr3:uid="{145DA36C-389F-4EA9-AA1D-D0425960E27C}" name="City" dataDxfId="191"/>
    <tableColumn id="7" xr3:uid="{525104F2-3DC8-4AEC-8094-F605DE5E9E0F}" name="Contact Number" dataDxfId="190"/>
    <tableColumn id="8" xr3:uid="{A4EDF61C-0C34-4586-970C-2BB30AACD838}" name="Email Address" dataDxfId="189"/>
    <tableColumn id="9" xr3:uid="{0A6F4CC6-7BFA-4FED-8148-15943B587E7E}" name="Official Website" dataDxfId="188" dataCellStyle="Hyperlink"/>
    <tableColumn id="10" xr3:uid="{6816D2BE-06B5-4C06-A486-5D169F85BFB8}" name="Instagram Profile" dataDxfId="187"/>
    <tableColumn id="11" xr3:uid="{C7CB31AE-9053-42D1-9FFD-BF541DDDA987}" name="Google Maps Link" dataDxfId="186"/>
    <tableColumn id="12" xr3:uid="{CAEFE432-66F5-4660-98D8-96F55EF0328D}" name="Operating Days &amp; Timings" dataDxfId="185"/>
    <tableColumn id="13" xr3:uid="{E72DC784-BE56-473A-862E-35F92C29EED4}" name="Court Facility Type" dataDxfId="184"/>
    <tableColumn id="14" xr3:uid="{C6204011-9DF3-4543-AFCA-247CF4AF8EBD}" name="Age Groups" dataDxfId="183"/>
    <tableColumn id="15" xr3:uid="{E4896500-53AE-473D-AD6C-723B37561E9F}" name="Coaching Level" dataDxfId="182"/>
    <tableColumn id="16" xr3:uid="{4361AD88-4E1A-492B-A485-234815AAEC07}" name="Verification Status" dataDxfId="181"/>
    <tableColumn id="17" xr3:uid="{19CB41AA-50B8-465B-A3D7-825AA9DA2B98}" name="Primary Source" dataDxfId="180" dataCellStyle="Hyperlink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5CAB70-1929-4F70-A6FF-7FF3AA3E26E2}" name="Table8" displayName="Table8" ref="A1:R31" totalsRowShown="0" headerRowDxfId="179" dataDxfId="177" headerRowBorderDxfId="178" tableBorderDxfId="176" totalsRowBorderDxfId="175">
  <autoFilter ref="A1:R31" xr:uid="{B25CAB70-1929-4F70-A6FF-7FF3AA3E26E2}"/>
  <tableColumns count="18">
    <tableColumn id="1" xr3:uid="{051C1D8F-A17F-45B2-8B67-DDBDCFC04C6B}" name="Academy Name" dataDxfId="174"/>
    <tableColumn id="2" xr3:uid="{F4D455C1-98CF-40B0-A046-5CBD88B833DC}" name="Sport" dataDxfId="173"/>
    <tableColumn id="3" xr3:uid="{15EE29C7-6046-409D-B8CF-12D9D8F47CE6}" name="Academy Type" dataDxfId="172"/>
    <tableColumn id="4" xr3:uid="{D51AAC57-EBCF-4BE0-AD2F-CA2288A8B8EA}" name="Full Address" dataDxfId="171"/>
    <tableColumn id="5" xr3:uid="{7F1D4A47-E4C2-42D9-8C8E-C690F3C8EE62}" name="Area / Locality" dataDxfId="170"/>
    <tableColumn id="6" xr3:uid="{311045B0-63C8-4D0E-9989-C3BC3D777AE7}" name="City" dataDxfId="169"/>
    <tableColumn id="7" xr3:uid="{523FD933-B1AA-4B30-ADEF-DDF9E906D640}" name="Contact Number" dataDxfId="168"/>
    <tableColumn id="8" xr3:uid="{20CEA9E5-48E2-4B5A-A97E-F9602A961590}" name="Email Address" dataDxfId="167"/>
    <tableColumn id="9" xr3:uid="{0F8984F8-92E8-4CC1-9F2E-53AF3CB0E7F8}" name="Official Website" dataDxfId="166" dataCellStyle="Hyperlink"/>
    <tableColumn id="10" xr3:uid="{0ED82119-12B4-4F5C-9ABB-D68BDA358868}" name="Instagram Profile" dataDxfId="165"/>
    <tableColumn id="11" xr3:uid="{4C50AB0A-5F04-4F37-BFF9-C1F75F73CA4C}" name="Google Maps Link" dataDxfId="164" dataCellStyle="Hyperlink"/>
    <tableColumn id="12" xr3:uid="{6FB8B8C7-289F-4479-9B5F-B7181D04158C}" name="Operating Days &amp; Timings" dataDxfId="163"/>
    <tableColumn id="13" xr3:uid="{BC0C01C0-751B-4558-B953-CF1F69640F48}" name="Court Facility Type" dataDxfId="162"/>
    <tableColumn id="14" xr3:uid="{C915BC13-2293-4D62-9803-525F6E25DA05}" name="Court Size" dataDxfId="161"/>
    <tableColumn id="15" xr3:uid="{2FFD95FA-7FCA-42B5-95A0-7A92A3F30155}" name="Age Groups" dataDxfId="160"/>
    <tableColumn id="16" xr3:uid="{6A9F866F-F0EA-438E-BF46-EFECAC21AF16}" name="Coaching Level" dataDxfId="159"/>
    <tableColumn id="17" xr3:uid="{AC859D19-F287-464B-B7ED-79FF3E2E9476}" name="Verification Status" dataDxfId="158"/>
    <tableColumn id="18" xr3:uid="{2EFF6AB3-9D7C-4E1F-B97D-A8035A465E62}" name="Primary Source" dataDxfId="157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79EDB5A-CC8C-429D-8465-3C52BB50E01A}" name="Table12" displayName="Table12" ref="A1:Q47" totalsRowShown="0" headerRowDxfId="156" dataDxfId="154" headerRowBorderDxfId="155" tableBorderDxfId="153" totalsRowBorderDxfId="152">
  <autoFilter ref="A1:Q47" xr:uid="{979EDB5A-CC8C-429D-8465-3C52BB50E01A}"/>
  <tableColumns count="17">
    <tableColumn id="1" xr3:uid="{23F54AC1-30AE-4896-ABEC-E19F30419476}" name="Academy Name" dataDxfId="151"/>
    <tableColumn id="2" xr3:uid="{7AF10FC6-59FC-450C-BDE2-776A2B88A399}" name="Sport" dataDxfId="150"/>
    <tableColumn id="3" xr3:uid="{964FBBA7-0518-4999-A7E3-CE5D72D1C06D}" name="Academy Type" dataDxfId="149"/>
    <tableColumn id="4" xr3:uid="{76B74E62-CB02-40B5-BF95-AA287413FFD5}" name="Full Address" dataDxfId="148"/>
    <tableColumn id="5" xr3:uid="{61521C50-72A1-477B-BE7E-C956801F59E5}" name="Area / Locality" dataDxfId="147"/>
    <tableColumn id="6" xr3:uid="{9DF86130-D574-4267-A755-3C8B5DD1E670}" name="City" dataDxfId="146"/>
    <tableColumn id="7" xr3:uid="{3B409D63-312F-4CD3-9C54-EB407220FC08}" name="Contact Number" dataDxfId="145"/>
    <tableColumn id="8" xr3:uid="{0A802C7B-2636-4F88-8B8C-D1BC393981B3}" name="Email Address" dataDxfId="144"/>
    <tableColumn id="9" xr3:uid="{2165B861-7BBD-4567-9C8B-2B69D144D26B}" name="Official Website" dataDxfId="143"/>
    <tableColumn id="10" xr3:uid="{663DCAE1-25DE-46AB-94F6-D91FD3B42899}" name="Instagram Profile" dataDxfId="142"/>
    <tableColumn id="12" xr3:uid="{77353990-12B7-4B14-AB35-223EEEFC353C}" name="Google Maps Link" dataDxfId="141"/>
    <tableColumn id="13" xr3:uid="{1BD96DCB-E9B3-49BB-9DEF-D159189D2F0C}" name="Operating Days &amp; Timings" dataDxfId="140"/>
    <tableColumn id="14" xr3:uid="{DDB739E0-669C-4E74-B32F-7EAAD3CBAADA}" name="Karate Style Taught" dataDxfId="139"/>
    <tableColumn id="15" xr3:uid="{8107211F-E352-457F-AE46-328C4027996B}" name="Age Groups" dataDxfId="138"/>
    <tableColumn id="16" xr3:uid="{D7279CCF-A29D-4C73-B683-69ABEA5CA42B}" name="Coaching Level" dataDxfId="137"/>
    <tableColumn id="17" xr3:uid="{2EF761BF-E08D-40B7-880D-C4510F69B191}" name="Verification Status" dataDxfId="136"/>
    <tableColumn id="18" xr3:uid="{040DDBE3-3DE3-4277-AAA0-80FC5A0D4678}" name="Primary Source" dataDxfId="135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F80656-B619-4D5F-9111-DBCAB0196D98}" name="Table9" displayName="Table9" ref="A1:R41" totalsRowShown="0" headerRowDxfId="134" dataDxfId="132" headerRowBorderDxfId="133" tableBorderDxfId="131" totalsRowBorderDxfId="130">
  <autoFilter ref="A1:R41" xr:uid="{E9F80656-B619-4D5F-9111-DBCAB0196D98}"/>
  <tableColumns count="18">
    <tableColumn id="1" xr3:uid="{D62316DC-1C5B-4B1C-BE90-E08895EA9EA4}" name="Academy Name" dataDxfId="129"/>
    <tableColumn id="2" xr3:uid="{C98F344A-8BDC-4648-ACFC-AF13B8E3CC18}" name="Sport" dataDxfId="128"/>
    <tableColumn id="3" xr3:uid="{F1691934-77F2-4D1C-A95A-9C41039574F4}" name="Academy Type" dataDxfId="127"/>
    <tableColumn id="4" xr3:uid="{9AD72188-D9D6-41BD-8F74-88A610713A32}" name="Full Address" dataDxfId="126"/>
    <tableColumn id="5" xr3:uid="{E19B4D44-9C97-4204-B7AA-3710A8FEA40D}" name="Area / Locality" dataDxfId="125"/>
    <tableColumn id="6" xr3:uid="{1A8C272D-61BA-4F7A-8B11-0ECA7E4239DF}" name="City" dataDxfId="124"/>
    <tableColumn id="7" xr3:uid="{28859C08-2CD1-4FDF-8D94-0DE8A356AC3E}" name="Contact Number" dataDxfId="123"/>
    <tableColumn id="8" xr3:uid="{84B7489F-5865-4367-A28C-281BCF74CEA2}" name="Email Address" dataDxfId="122"/>
    <tableColumn id="9" xr3:uid="{2B6B9A06-0FA4-4929-ACA9-C8AEC09F3C60}" name="Official Website" dataDxfId="121"/>
    <tableColumn id="10" xr3:uid="{5856E9AF-169A-499C-B66B-12C59599C4DA}" name="Instagram Profile" dataDxfId="120"/>
    <tableColumn id="11" xr3:uid="{69860669-93BB-453A-AA53-AE768F88BE3B}" name="Google Maps Link" dataDxfId="119" dataCellStyle="Hyperlink"/>
    <tableColumn id="12" xr3:uid="{508B2643-4057-43DF-8407-4CAD2A448925}" name="Operating Days &amp; Timings" dataDxfId="118"/>
    <tableColumn id="13" xr3:uid="{694EF419-2621-4F30-BB9F-49EE5D1C4D06}" name="Rink Surface Type" dataDxfId="117"/>
    <tableColumn id="14" xr3:uid="{3A7F2F11-41D8-4C1A-8465-945AC0D7A6C0}" name="Skating Discipline Taught" dataDxfId="116"/>
    <tableColumn id="15" xr3:uid="{548B2A21-CF26-417D-94CE-1561C69AE41E}" name="Age Groups" dataDxfId="115"/>
    <tableColumn id="16" xr3:uid="{C2FB3E2E-959E-4719-997B-2F9AABC4D425}" name="Coaching Level" dataDxfId="114"/>
    <tableColumn id="17" xr3:uid="{9E0C8201-280B-4D0C-AB98-D5321DE1B92E}" name="Verification Status" dataDxfId="113"/>
    <tableColumn id="18" xr3:uid="{7CC106B6-60D2-422A-8684-AD0C77DF9276}" name="Primary Source" dataDxfId="112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07D98A-BD5F-4D15-9115-5B879299AA4F}" name="Table10" displayName="Table10" ref="A1:Q55" totalsRowShown="0" headerRowDxfId="111" dataDxfId="109" headerRowBorderDxfId="110" tableBorderDxfId="108" totalsRowBorderDxfId="107">
  <autoFilter ref="A1:Q55" xr:uid="{0307D98A-BD5F-4D15-9115-5B879299AA4F}"/>
  <tableColumns count="17">
    <tableColumn id="1" xr3:uid="{A7D38A5D-4A6F-495F-9F51-AFE875C32D9B}" name="Academy Name" dataDxfId="106"/>
    <tableColumn id="2" xr3:uid="{D12D5188-B365-42DA-894F-34E2F21987B2}" name="Sport" dataDxfId="105"/>
    <tableColumn id="3" xr3:uid="{AB998B1D-0696-4572-B470-BD8532B6D243}" name="Academy Type" dataDxfId="104"/>
    <tableColumn id="4" xr3:uid="{9E9241A6-F875-4763-8049-DE5CC6238C48}" name="Full Address" dataDxfId="103"/>
    <tableColumn id="5" xr3:uid="{B2B45F80-2F78-4B8D-BB08-B890B8363D9F}" name="Area / Locality" dataDxfId="102"/>
    <tableColumn id="6" xr3:uid="{2430C7C6-D461-43EA-BC99-CFD9956803A8}" name="City" dataDxfId="101"/>
    <tableColumn id="7" xr3:uid="{CD9BA534-3A61-4FE6-956F-84EA260BFDC7}" name="Contact Number" dataDxfId="100"/>
    <tableColumn id="8" xr3:uid="{F1F7FA0A-CA39-4569-9822-E18BCE158E16}" name="Email Address" dataDxfId="99"/>
    <tableColumn id="9" xr3:uid="{B019835C-F5E7-4E62-AE61-41181D9BD234}" name="Official Website" dataDxfId="98"/>
    <tableColumn id="10" xr3:uid="{81AC507B-CBDC-4AF4-8E59-9447EBE7B9B5}" name="Instagram Profile" dataDxfId="97"/>
    <tableColumn id="11" xr3:uid="{CE775FD6-CCCC-4A72-9144-F8D6FD7601E9}" name="Google Maps Link" dataDxfId="96"/>
    <tableColumn id="12" xr3:uid="{C3BF2B7E-7267-4538-B956-A1AE9E1C1779}" name="Operating Days &amp; Timings" dataDxfId="95"/>
    <tableColumn id="13" xr3:uid="{A69F0C5C-76EC-4326-B4F6-B1DF0DB12D2E}" name="Coaching Mode" dataDxfId="94"/>
    <tableColumn id="14" xr3:uid="{E9E280EC-A617-42AF-B9DC-1AADD74D64DD}" name="Age Groups" dataDxfId="93"/>
    <tableColumn id="15" xr3:uid="{FB96A043-D7C3-485A-B80B-776A0817F5B9}" name="Coaching Level" dataDxfId="92"/>
    <tableColumn id="16" xr3:uid="{6A474DA2-EA36-4332-BCBA-7C70F237E8D8}" name="Verification Status" dataDxfId="91"/>
    <tableColumn id="17" xr3:uid="{23C3D69C-1638-4483-B77B-E8779D34716E}" name="Primary Source" dataDxfId="90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B06F7F-16A2-436B-BA54-1A09F726D003}" name="Table5" displayName="Table5" ref="A1:Q17" totalsRowShown="0" headerRowDxfId="89" dataDxfId="87" headerRowBorderDxfId="88" tableBorderDxfId="86" totalsRowBorderDxfId="85">
  <autoFilter ref="A1:Q17" xr:uid="{C7B06F7F-16A2-436B-BA54-1A09F726D003}"/>
  <tableColumns count="17">
    <tableColumn id="1" xr3:uid="{17611F07-E703-4E6E-8BE2-BBAEAFE62755}" name="Academy Name" dataDxfId="84"/>
    <tableColumn id="2" xr3:uid="{BD6FDB65-771C-447A-B678-B116EC7461EC}" name="Sport" dataDxfId="83"/>
    <tableColumn id="3" xr3:uid="{2A5C3304-13B1-4892-8662-79D0158664C7}" name="Academy Type" dataDxfId="82"/>
    <tableColumn id="4" xr3:uid="{6F4CA093-48E3-4F76-8069-8ADD0AE46076}" name="Full Address" dataDxfId="81"/>
    <tableColumn id="5" xr3:uid="{33D52C00-B7C0-4179-A375-449BFBAA6BB4}" name="Area / Locality" dataDxfId="80"/>
    <tableColumn id="6" xr3:uid="{E377007C-9E02-4AD8-9B49-01E371BD8461}" name="City" dataDxfId="79"/>
    <tableColumn id="7" xr3:uid="{0F8F4BCD-2DDA-42E1-920C-0662651BE89A}" name="Contact Number" dataDxfId="78"/>
    <tableColumn id="8" xr3:uid="{EA65873C-F795-494E-B118-150375C3F5F6}" name="Email Address" dataDxfId="77"/>
    <tableColumn id="9" xr3:uid="{14FA7BEA-B448-4315-AF41-1EFB6669E275}" name="Official Website" dataDxfId="76" dataCellStyle="Hyperlink"/>
    <tableColumn id="10" xr3:uid="{0006ABF9-475E-49D6-9A11-F6141FC362F6}" name="Instagram Profile" dataDxfId="75"/>
    <tableColumn id="11" xr3:uid="{3A1FBECC-6AAB-4F30-AAD7-263005826C6F}" name="Google Maps Link" dataDxfId="74" dataCellStyle="Hyperlink"/>
    <tableColumn id="12" xr3:uid="{5CAA43D1-D11D-4215-9AF9-9F925BF94F0F}" name="Operating Days &amp; Timings" dataDxfId="73"/>
    <tableColumn id="13" xr3:uid="{FECD7533-45D2-4CA9-9CAB-0B3AD359AC96}" name="Court Type" dataDxfId="72"/>
    <tableColumn id="14" xr3:uid="{5825EAAC-7EB7-44B8-A2B1-4CF64645CF8B}" name="Age Groups" dataDxfId="71"/>
    <tableColumn id="15" xr3:uid="{C88C4278-C0AB-4578-A50C-C17F322D1B81}" name="Coaching Level" dataDxfId="70"/>
    <tableColumn id="16" xr3:uid="{096F1039-1AEF-4169-8497-FEDB480A11DB}" name="Verification Status" dataDxfId="69"/>
    <tableColumn id="17" xr3:uid="{210FD5A8-94E1-44A9-9B8D-09BF36DB5440}" name="Primary Source" dataDxfId="68" dataCellStyle="Hyperlink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F3C9C3-2335-4EDD-937A-BA26312345EC}" name="Table11" displayName="Table11" ref="A1:R22" totalsRowShown="0" headerRowDxfId="67" dataDxfId="65" headerRowBorderDxfId="66" tableBorderDxfId="64" totalsRowBorderDxfId="63">
  <autoFilter ref="A1:R22" xr:uid="{C5F3C9C3-2335-4EDD-937A-BA26312345EC}"/>
  <tableColumns count="18">
    <tableColumn id="1" xr3:uid="{F5D4B5E6-BA7A-4F02-BF15-B39E97078D87}" name="Academy Name" dataDxfId="62"/>
    <tableColumn id="2" xr3:uid="{C0177FF2-0484-4D34-906A-0B64E3E2B712}" name="Sport" dataDxfId="61"/>
    <tableColumn id="3" xr3:uid="{4F0FCF5C-BEBC-4EEF-8FC3-C996B81B37F6}" name="Academy Type" dataDxfId="60"/>
    <tableColumn id="4" xr3:uid="{E50CD249-E208-4045-9519-AA00199C071B}" name="Full Address" dataDxfId="59"/>
    <tableColumn id="5" xr3:uid="{2558AB4B-8E27-4446-92FC-F15216E3B0D6}" name="Area / Locality" dataDxfId="58"/>
    <tableColumn id="6" xr3:uid="{848DDFAC-45CD-40AE-8722-91E91E5D953D}" name="City" dataDxfId="57"/>
    <tableColumn id="7" xr3:uid="{F2CE2CC3-5703-4CA8-9AE5-0055178B2206}" name="Contact Number" dataDxfId="56"/>
    <tableColumn id="8" xr3:uid="{90063614-8AC7-4F3C-8FD8-3F09B396210A}" name="Email Address" dataDxfId="55"/>
    <tableColumn id="9" xr3:uid="{8A1C8C9F-4E0C-4BDE-96FA-DAA71B8E9402}" name="Official Website" dataDxfId="54" dataCellStyle="Hyperlink"/>
    <tableColumn id="10" xr3:uid="{4BBF20C3-1348-4DC8-9D58-B537DC522A41}" name="Instagram Profile" dataDxfId="53"/>
    <tableColumn id="11" xr3:uid="{91776954-5C84-43BB-8301-050F8703D5EE}" name="Google Maps Link" dataDxfId="52" dataCellStyle="Hyperlink"/>
    <tableColumn id="12" xr3:uid="{D5CD18D5-3B8D-4035-ADEF-4DA761DC56E9}" name="Operating Days &amp; Timings" dataDxfId="51"/>
    <tableColumn id="13" xr3:uid="{D4925AB5-8C49-4C5D-9D1F-86811B21C736}" name="Bow Types Taught" dataDxfId="50"/>
    <tableColumn id="14" xr3:uid="{E7B14D52-9668-4CD5-9EB0-68635222F430}" name="Range Distance" dataDxfId="49"/>
    <tableColumn id="15" xr3:uid="{C6C2033C-D8D8-42F1-8AED-A3DD24EB317F}" name="Age Groups" dataDxfId="48"/>
    <tableColumn id="16" xr3:uid="{5C326F13-ED5C-4043-A385-47B248C4B3E7}" name="Coaching Level" dataDxfId="47"/>
    <tableColumn id="17" xr3:uid="{FCEE16A1-93DD-422E-B3BA-E151AC195ADC}" name="Verification Status" dataDxfId="46"/>
    <tableColumn id="18" xr3:uid="{CF89B59C-5A99-4C7D-B657-85B4E09A20E8}" name="Primary Source" dataDxfId="45" dataCellStyle="Hyperlink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C5DCEB6-C10A-4CCD-B84B-BC29E024D53C}" name="Table13" displayName="Table13" ref="A1:R23" totalsRowShown="0" headerRowDxfId="44" dataDxfId="42" headerRowBorderDxfId="43" tableBorderDxfId="41" totalsRowBorderDxfId="40">
  <autoFilter ref="A1:R23" xr:uid="{4C5DCEB6-C10A-4CCD-B84B-BC29E024D53C}"/>
  <tableColumns count="18">
    <tableColumn id="1" xr3:uid="{35C36FA5-D7DF-4E09-8303-FDABBCABDFA4}" name="Academy Name" dataDxfId="39"/>
    <tableColumn id="2" xr3:uid="{2B3E04FF-E4F9-49D3-BDA7-04D3F89ABD0B}" name="Sport" dataDxfId="38"/>
    <tableColumn id="3" xr3:uid="{BA930E1A-595F-4422-A205-2D5CCDF64CFE}" name="Academy Type" dataDxfId="37"/>
    <tableColumn id="4" xr3:uid="{96FE63CF-E9DA-4D50-9FD8-6CC9732CA3B4}" name="Full Address" dataDxfId="36"/>
    <tableColumn id="5" xr3:uid="{69870C99-E611-4495-9802-460DA9D393D0}" name="Area / Locality" dataDxfId="35"/>
    <tableColumn id="6" xr3:uid="{35BC111C-5F8A-420E-B1C8-097F8F5AB94B}" name="City" dataDxfId="34"/>
    <tableColumn id="7" xr3:uid="{4FA2D901-E0B1-4970-81AB-C0A641497106}" name="Contact Number" dataDxfId="33"/>
    <tableColumn id="8" xr3:uid="{D69A5F87-B015-46D8-912A-3770A5C2FF92}" name="Email Address" dataDxfId="32"/>
    <tableColumn id="9" xr3:uid="{87C76786-F79E-4ADE-9B78-6F0F420F487B}" name="Official Website" dataDxfId="31"/>
    <tableColumn id="10" xr3:uid="{87E7BD72-1778-43AA-9F42-36DBFA96161A}" name="Instagram Profile" dataDxfId="30"/>
    <tableColumn id="11" xr3:uid="{27A1F8FD-DAE0-492C-BFBD-1F4B1ABBB8F7}" name="Google Maps Link"/>
    <tableColumn id="12" xr3:uid="{84CD8DAF-B27C-45ED-97EA-7DD8B7817DDE}" name="Operating Days &amp; Timings" dataDxfId="29"/>
    <tableColumn id="13" xr3:uid="{C5ECF3C4-4CA9-4960-A45C-3FC3AC7D8C90}" name="Weapons / Disciplines Taught" dataDxfId="28"/>
    <tableColumn id="14" xr3:uid="{FF9C2262-93C7-4F2D-9F77-262E90529BBE}" name="Range Distance Facility" dataDxfId="27"/>
    <tableColumn id="15" xr3:uid="{B65DE17C-3629-462D-B8E8-1BCD05F36578}" name="Age Groups" dataDxfId="26"/>
    <tableColumn id="16" xr3:uid="{3B48878C-87C3-413D-A8E4-B306B414B49C}" name="Coaching Level" dataDxfId="25"/>
    <tableColumn id="17" xr3:uid="{5861629E-9D98-47DE-8750-5D1C1E033946}" name="Verification Status" dataDxfId="24"/>
    <tableColumn id="18" xr3:uid="{F4444F6D-D7D2-4391-ADE8-5E3189177B15}" name="Primary Source" dataDxfId="23" dataCellStyle="Hyperlink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88D86D9-E799-4AB9-9C65-DA4BE2C8936B}" name="Table14" displayName="Table14" ref="A1:R51" totalsRowShown="0" headerRowDxfId="22" dataDxfId="20" headerRowBorderDxfId="21" tableBorderDxfId="19" totalsRowBorderDxfId="18">
  <autoFilter ref="A1:R51" xr:uid="{188D86D9-E799-4AB9-9C65-DA4BE2C8936B}"/>
  <tableColumns count="18">
    <tableColumn id="1" xr3:uid="{CF12143B-3FCB-4226-AB07-7EA2C4487D0E}" name=" " dataDxfId="17"/>
    <tableColumn id="2" xr3:uid="{12C67A57-714F-4AB5-BEEC-7E168F38A19C}" name="Sport" dataDxfId="16"/>
    <tableColumn id="3" xr3:uid="{3B678E1B-92CF-46AB-B927-14590535DA2C}" name="Academy Type" dataDxfId="15"/>
    <tableColumn id="4" xr3:uid="{77C41C77-E0F4-4813-8204-A7C27941C715}" name="Full Address" dataDxfId="14"/>
    <tableColumn id="5" xr3:uid="{8D60A99E-F2F1-4923-AC45-A71DAAF4D35A}" name="Area / Locality" dataDxfId="13"/>
    <tableColumn id="6" xr3:uid="{9D8AE9D9-0217-484F-9D30-30540FC49A5A}" name="City" dataDxfId="12"/>
    <tableColumn id="7" xr3:uid="{83C945C7-A6FD-4F84-894A-5107DCCA0BF9}" name="Contact Number" dataDxfId="11"/>
    <tableColumn id="8" xr3:uid="{0C6D8CF0-7CA1-43C7-8125-FE24A4D3E497}" name="Email Address" dataDxfId="10"/>
    <tableColumn id="9" xr3:uid="{4B3EF4D6-408B-47F4-A49D-0E26D1CBC722}" name="Official Website" dataDxfId="9"/>
    <tableColumn id="10" xr3:uid="{9450358C-F385-4063-A69B-52C4BFF13ED0}" name="Instagram Profile" dataDxfId="8"/>
    <tableColumn id="11" xr3:uid="{7FB61E68-011B-47C0-8485-99D07200627D}" name="Google Maps Link" dataDxfId="7"/>
    <tableColumn id="12" xr3:uid="{0EA510ED-BA2D-4166-93C4-ABF6CFD61E7F}" name="Operating Days &amp; Timings" dataDxfId="6"/>
    <tableColumn id="13" xr3:uid="{BB07A0B3-22DC-463D-971C-113381A27516}" name="Number of Courts" dataDxfId="5"/>
    <tableColumn id="14" xr3:uid="{DE856C7E-C869-40EC-87D7-70CEFE24EDBD}" name="Court Surface Type" dataDxfId="4"/>
    <tableColumn id="15" xr3:uid="{72F50F3D-8609-47B3-AD16-B833A866E42E}" name="Age Groups" dataDxfId="3"/>
    <tableColumn id="16" xr3:uid="{07ACF38B-1B3B-4CCC-B40C-0D8C70E81EA9}" name="Coaching Level" dataDxfId="2"/>
    <tableColumn id="17" xr3:uid="{20DEF65E-B1CF-4F30-80E1-C80974B204AE}" name="Verification Status" dataDxfId="1"/>
    <tableColumn id="18" xr3:uid="{247A0B09-486A-4A24-8CDC-45ACF5AA8DF7}" name="Primary Source" dataDxfId="0" dataCellStyle="Hyperlin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google.com/?cid=12202685956799057556" TargetMode="External"/><Relationship Id="rId21" Type="http://schemas.openxmlformats.org/officeDocument/2006/relationships/hyperlink" Target="https://maps.google.com/?cid=17688267232242123995" TargetMode="External"/><Relationship Id="rId42" Type="http://schemas.openxmlformats.org/officeDocument/2006/relationships/hyperlink" Target="https://maps.google.com/?cid=9187309990393033395" TargetMode="External"/><Relationship Id="rId47" Type="http://schemas.openxmlformats.org/officeDocument/2006/relationships/hyperlink" Target="http://thegrowsports.com/" TargetMode="External"/><Relationship Id="rId63" Type="http://schemas.openxmlformats.org/officeDocument/2006/relationships/hyperlink" Target="https://www.justdial.com/Ahmedabad/Yuva-Cricket-Club-Shahibaug/079PXX79-XX79-120526035033-P5M8_BZDET" TargetMode="External"/><Relationship Id="rId68" Type="http://schemas.openxmlformats.org/officeDocument/2006/relationships/hyperlink" Target="https://www.shreyasfoundation.in/sports-activities" TargetMode="External"/><Relationship Id="rId84" Type="http://schemas.openxmlformats.org/officeDocument/2006/relationships/hyperlink" Target="https://worldsports.co.in/" TargetMode="External"/><Relationship Id="rId89" Type="http://schemas.openxmlformats.org/officeDocument/2006/relationships/hyperlink" Target="https://rayscricketacademy.lovable.app/" TargetMode="External"/><Relationship Id="rId16" Type="http://schemas.openxmlformats.org/officeDocument/2006/relationships/hyperlink" Target="https://www.justdial.com/Ahmedabad/Cricket-Coaching-Classes-in-Thaltej/nct-10147469" TargetMode="External"/><Relationship Id="rId11" Type="http://schemas.openxmlformats.org/officeDocument/2006/relationships/hyperlink" Target="https://www.justdial.com/Ahmedabad/Cricket-Coaching-Classes-in-Prahladnagar/nct-10147469" TargetMode="External"/><Relationship Id="rId32" Type="http://schemas.openxmlformats.org/officeDocument/2006/relationships/hyperlink" Target="https://maps.google.com/?cid=6230559648218172643" TargetMode="External"/><Relationship Id="rId37" Type="http://schemas.openxmlformats.org/officeDocument/2006/relationships/hyperlink" Target="https://maps.google.com/?cid=9415849929288487394" TargetMode="External"/><Relationship Id="rId53" Type="http://schemas.openxmlformats.org/officeDocument/2006/relationships/hyperlink" Target="https://grpsportsacademy.com/" TargetMode="External"/><Relationship Id="rId58" Type="http://schemas.openxmlformats.org/officeDocument/2006/relationships/hyperlink" Target="https://www.google.com/maps" TargetMode="External"/><Relationship Id="rId74" Type="http://schemas.openxmlformats.org/officeDocument/2006/relationships/hyperlink" Target="https://3wheelsportsclub.com/" TargetMode="External"/><Relationship Id="rId79" Type="http://schemas.openxmlformats.org/officeDocument/2006/relationships/hyperlink" Target="https://swaraajsports.com/" TargetMode="External"/><Relationship Id="rId5" Type="http://schemas.openxmlformats.org/officeDocument/2006/relationships/hyperlink" Target="https://cnvidyavihar.edu.in/institutions/special-institutes/sports-academy/" TargetMode="External"/><Relationship Id="rId90" Type="http://schemas.openxmlformats.org/officeDocument/2006/relationships/table" Target="../tables/table1.xml"/><Relationship Id="rId14" Type="http://schemas.openxmlformats.org/officeDocument/2006/relationships/hyperlink" Target="https://maps.google.com/?cid=7468165084920405870" TargetMode="External"/><Relationship Id="rId22" Type="http://schemas.openxmlformats.org/officeDocument/2006/relationships/hyperlink" Target="https://maps.google.com/?cid=8379435889392234654" TargetMode="External"/><Relationship Id="rId27" Type="http://schemas.openxmlformats.org/officeDocument/2006/relationships/hyperlink" Target="https://www.instagram.com/jugamos_sports_academy" TargetMode="External"/><Relationship Id="rId30" Type="http://schemas.openxmlformats.org/officeDocument/2006/relationships/hyperlink" Target="http://www.neonsportsacademy.com/" TargetMode="External"/><Relationship Id="rId35" Type="http://schemas.openxmlformats.org/officeDocument/2006/relationships/hyperlink" Target="https://maps.google.com/?cid=4818783471018988699" TargetMode="External"/><Relationship Id="rId43" Type="http://schemas.openxmlformats.org/officeDocument/2006/relationships/hyperlink" Target="https://maps.google.com/?cid=17336717540266017097" TargetMode="External"/><Relationship Id="rId48" Type="http://schemas.openxmlformats.org/officeDocument/2006/relationships/hyperlink" Target="https://www.justdial.com/Ahmedabad/Arjuna-Sports-Academy-Nikol-Gam/079PXX79-XX79-190401173538-P5K4_BZDET" TargetMode="External"/><Relationship Id="rId56" Type="http://schemas.openxmlformats.org/officeDocument/2006/relationships/hyperlink" Target="https://www.justdial.com/Ahmedabad/Royal-Cricket-Academy-Near-Pushpak-Bunglows-Samrat-Nagar-Isanpur/079PXX79-XX79-220929212843-T1U4_BZDET" TargetMode="External"/><Relationship Id="rId64" Type="http://schemas.openxmlformats.org/officeDocument/2006/relationships/hyperlink" Target="http://www.mpowercricket.com/" TargetMode="External"/><Relationship Id="rId69" Type="http://schemas.openxmlformats.org/officeDocument/2006/relationships/hyperlink" Target="http://www.ahmedabadsportsacademy.com/" TargetMode="External"/><Relationship Id="rId77" Type="http://schemas.openxmlformats.org/officeDocument/2006/relationships/hyperlink" Target="http://www.neonsportsacademy.com/" TargetMode="External"/><Relationship Id="rId8" Type="http://schemas.openxmlformats.org/officeDocument/2006/relationships/hyperlink" Target="http://www.ahmedabadsportsacademy.com/" TargetMode="External"/><Relationship Id="rId51" Type="http://schemas.openxmlformats.org/officeDocument/2006/relationships/hyperlink" Target="https://www.justdial.com/Ahmedabad/Empire-Cricket-Academy-Nikol-Gam/079PXX79-XX79-220902220600-D2B4_BZDET" TargetMode="External"/><Relationship Id="rId72" Type="http://schemas.openxmlformats.org/officeDocument/2006/relationships/hyperlink" Target="https://www.msdhoniacademy.com/" TargetMode="External"/><Relationship Id="rId80" Type="http://schemas.openxmlformats.org/officeDocument/2006/relationships/hyperlink" Target="http://www.risingsportsacademy.com/" TargetMode="External"/><Relationship Id="rId85" Type="http://schemas.openxmlformats.org/officeDocument/2006/relationships/hyperlink" Target="https://www.instagram.com/coach_zuber_mansuri" TargetMode="External"/><Relationship Id="rId3" Type="http://schemas.openxmlformats.org/officeDocument/2006/relationships/hyperlink" Target="https://cricketupdate.net/" TargetMode="External"/><Relationship Id="rId12" Type="http://schemas.openxmlformats.org/officeDocument/2006/relationships/hyperlink" Target="https://www.msdhoniacademy.com/" TargetMode="External"/><Relationship Id="rId17" Type="http://schemas.openxmlformats.org/officeDocument/2006/relationships/hyperlink" Target="https://maps.google.com/?cid=8328761014167101319" TargetMode="External"/><Relationship Id="rId25" Type="http://schemas.openxmlformats.org/officeDocument/2006/relationships/hyperlink" Target="https://maps.google.com/?cid=10928238779978643028" TargetMode="External"/><Relationship Id="rId33" Type="http://schemas.openxmlformats.org/officeDocument/2006/relationships/hyperlink" Target="https://swaraajsports.com/" TargetMode="External"/><Relationship Id="rId38" Type="http://schemas.openxmlformats.org/officeDocument/2006/relationships/hyperlink" Target="https://maps.google.com/?cid=14818037326442651815" TargetMode="External"/><Relationship Id="rId46" Type="http://schemas.openxmlformats.org/officeDocument/2006/relationships/hyperlink" Target="https://maps.google.com/?cid=2273614917452337161" TargetMode="External"/><Relationship Id="rId59" Type="http://schemas.openxmlformats.org/officeDocument/2006/relationships/hyperlink" Target="https://www.google.com/maps" TargetMode="External"/><Relationship Id="rId67" Type="http://schemas.openxmlformats.org/officeDocument/2006/relationships/hyperlink" Target="http://www.ahmedabadsportsacademy.com/" TargetMode="External"/><Relationship Id="rId20" Type="http://schemas.openxmlformats.org/officeDocument/2006/relationships/hyperlink" Target="https://maps.google.com/?cid=16023249013063545690" TargetMode="External"/><Relationship Id="rId41" Type="http://schemas.openxmlformats.org/officeDocument/2006/relationships/hyperlink" Target="https://kavyasportsacademy.com/" TargetMode="External"/><Relationship Id="rId54" Type="http://schemas.openxmlformats.org/officeDocument/2006/relationships/hyperlink" Target="https://www.google.com/maps" TargetMode="External"/><Relationship Id="rId62" Type="http://schemas.openxmlformats.org/officeDocument/2006/relationships/hyperlink" Target="https://www.justdial.com/Ahmedabad/Cricket-Coaching-Classes-in-Shahibaug/nct-10147469" TargetMode="External"/><Relationship Id="rId70" Type="http://schemas.openxmlformats.org/officeDocument/2006/relationships/hyperlink" Target="https://desirecricketacademy.com/" TargetMode="External"/><Relationship Id="rId75" Type="http://schemas.openxmlformats.org/officeDocument/2006/relationships/hyperlink" Target="https://www.msdhoniacademy.com/" TargetMode="External"/><Relationship Id="rId83" Type="http://schemas.openxmlformats.org/officeDocument/2006/relationships/hyperlink" Target="http://thegrowsports.com/" TargetMode="External"/><Relationship Id="rId88" Type="http://schemas.openxmlformats.org/officeDocument/2006/relationships/hyperlink" Target="http://www.sunrisingcricket.com/" TargetMode="External"/><Relationship Id="rId1" Type="http://schemas.openxmlformats.org/officeDocument/2006/relationships/hyperlink" Target="https://www.justdial.com/Ahmedabad/Universal-Cricket-Academy-Near-St-Kabir-School-Navrangpura/079PXX79-XX79-220407064514-H6I9_BZDET" TargetMode="External"/><Relationship Id="rId6" Type="http://schemas.openxmlformats.org/officeDocument/2006/relationships/hyperlink" Target="http://www.ahmedabadsportsacademy.com/" TargetMode="External"/><Relationship Id="rId15" Type="http://schemas.openxmlformats.org/officeDocument/2006/relationships/hyperlink" Target="https://www.justdial.com/Ahmedabad/Cricket-Coaching-Classes-in-Thaltej/nct-10147469" TargetMode="External"/><Relationship Id="rId23" Type="http://schemas.openxmlformats.org/officeDocument/2006/relationships/hyperlink" Target="https://3wheelsportsclub.com/" TargetMode="External"/><Relationship Id="rId28" Type="http://schemas.openxmlformats.org/officeDocument/2006/relationships/hyperlink" Target="https://maps.google.com/?cid=11797825595604471961" TargetMode="External"/><Relationship Id="rId36" Type="http://schemas.openxmlformats.org/officeDocument/2006/relationships/hyperlink" Target="https://maps.google.com/?cid=8220739943477148405" TargetMode="External"/><Relationship Id="rId49" Type="http://schemas.openxmlformats.org/officeDocument/2006/relationships/hyperlink" Target="https://docs.google.com/forms/d/e/1FAIpQLScewWLu7tB6V9s7Ic9jDtwpy1C-XBnk7p53UDyuF4jkr-v53Q/viewform?usp=preview" TargetMode="External"/><Relationship Id="rId57" Type="http://schemas.openxmlformats.org/officeDocument/2006/relationships/hyperlink" Target="http://www.sunrisingcricket.com/" TargetMode="External"/><Relationship Id="rId10" Type="http://schemas.openxmlformats.org/officeDocument/2006/relationships/hyperlink" Target="http://www.royalcricketacademy.com/" TargetMode="External"/><Relationship Id="rId31" Type="http://schemas.openxmlformats.org/officeDocument/2006/relationships/hyperlink" Target="https://srt10-altevol.com/" TargetMode="External"/><Relationship Id="rId44" Type="http://schemas.openxmlformats.org/officeDocument/2006/relationships/hyperlink" Target="https://www.gcaclubhouse.com/" TargetMode="External"/><Relationship Id="rId52" Type="http://schemas.openxmlformats.org/officeDocument/2006/relationships/hyperlink" Target="https://www.instagram.com/coach_zuber_mansuri?igsh=eGh5NGNpdGlocHh6" TargetMode="External"/><Relationship Id="rId60" Type="http://schemas.openxmlformats.org/officeDocument/2006/relationships/hyperlink" Target="https://www.google.com/maps" TargetMode="External"/><Relationship Id="rId65" Type="http://schemas.openxmlformats.org/officeDocument/2006/relationships/hyperlink" Target="https://cricketupdate.net/" TargetMode="External"/><Relationship Id="rId73" Type="http://schemas.openxmlformats.org/officeDocument/2006/relationships/hyperlink" Target="https://sports.sgvp.org/" TargetMode="External"/><Relationship Id="rId78" Type="http://schemas.openxmlformats.org/officeDocument/2006/relationships/hyperlink" Target="https://srt10-altevol.com/" TargetMode="External"/><Relationship Id="rId81" Type="http://schemas.openxmlformats.org/officeDocument/2006/relationships/hyperlink" Target="https://kavyasportsacademy.com/" TargetMode="External"/><Relationship Id="rId86" Type="http://schemas.openxmlformats.org/officeDocument/2006/relationships/hyperlink" Target="https://grpsportsacademy.com/" TargetMode="External"/><Relationship Id="rId4" Type="http://schemas.openxmlformats.org/officeDocument/2006/relationships/hyperlink" Target="https://www.justdial.com/Ahmedabad/Cricket-Coaching-Classes-in-Navrangpura/nct-10147469" TargetMode="External"/><Relationship Id="rId9" Type="http://schemas.openxmlformats.org/officeDocument/2006/relationships/hyperlink" Target="https://desirecricketacademy.com/" TargetMode="External"/><Relationship Id="rId13" Type="http://schemas.openxmlformats.org/officeDocument/2006/relationships/hyperlink" Target="https://maps.google.com/?cid=9333931652618635342" TargetMode="External"/><Relationship Id="rId18" Type="http://schemas.openxmlformats.org/officeDocument/2006/relationships/hyperlink" Target="https://sports.sgvp.org/" TargetMode="External"/><Relationship Id="rId39" Type="http://schemas.openxmlformats.org/officeDocument/2006/relationships/hyperlink" Target="http://www.risingsportsacademy.com/" TargetMode="External"/><Relationship Id="rId34" Type="http://schemas.openxmlformats.org/officeDocument/2006/relationships/hyperlink" Target="https://maps.google.com/?cid=10214647348987145831" TargetMode="External"/><Relationship Id="rId50" Type="http://schemas.openxmlformats.org/officeDocument/2006/relationships/hyperlink" Target="https://worldsports.co.in/" TargetMode="External"/><Relationship Id="rId55" Type="http://schemas.openxmlformats.org/officeDocument/2006/relationships/hyperlink" Target="https://www.instagram.com/singarva_sports_club?igsh=MXFpYmdwMnZxYWVhNg==" TargetMode="External"/><Relationship Id="rId76" Type="http://schemas.openxmlformats.org/officeDocument/2006/relationships/hyperlink" Target="https://www.instagram.com/jugamos_sports_academy" TargetMode="External"/><Relationship Id="rId7" Type="http://schemas.openxmlformats.org/officeDocument/2006/relationships/hyperlink" Target="https://www.shreyasfoundation.in/sports-activities" TargetMode="External"/><Relationship Id="rId71" Type="http://schemas.openxmlformats.org/officeDocument/2006/relationships/hyperlink" Target="http://www.royalcricketacademy.com/" TargetMode="External"/><Relationship Id="rId2" Type="http://schemas.openxmlformats.org/officeDocument/2006/relationships/hyperlink" Target="http://www.mpowercricket.com/" TargetMode="External"/><Relationship Id="rId29" Type="http://schemas.openxmlformats.org/officeDocument/2006/relationships/hyperlink" Target="https://maps.google.com/?cid=9229045768222953625" TargetMode="External"/><Relationship Id="rId24" Type="http://schemas.openxmlformats.org/officeDocument/2006/relationships/hyperlink" Target="https://www.msdhoniacademy.com/" TargetMode="External"/><Relationship Id="rId40" Type="http://schemas.openxmlformats.org/officeDocument/2006/relationships/hyperlink" Target="https://maps.google.com/?cid=8818559640327772909" TargetMode="External"/><Relationship Id="rId45" Type="http://schemas.openxmlformats.org/officeDocument/2006/relationships/hyperlink" Target="https://maps.google.com/?cid=2320494392186981451" TargetMode="External"/><Relationship Id="rId66" Type="http://schemas.openxmlformats.org/officeDocument/2006/relationships/hyperlink" Target="https://cnvidyavihar.edu.in/institutions/special-institutes/sports-academy/" TargetMode="External"/><Relationship Id="rId87" Type="http://schemas.openxmlformats.org/officeDocument/2006/relationships/hyperlink" Target="https://www.instagram.com/singarva_sports_club" TargetMode="External"/><Relationship Id="rId61" Type="http://schemas.openxmlformats.org/officeDocument/2006/relationships/hyperlink" Target="https://rayscricketacademy.lovable.app/" TargetMode="External"/><Relationship Id="rId82" Type="http://schemas.openxmlformats.org/officeDocument/2006/relationships/hyperlink" Target="https://www.gcaclubhouse.com/" TargetMode="External"/><Relationship Id="rId19" Type="http://schemas.openxmlformats.org/officeDocument/2006/relationships/hyperlink" Target="https://www.justdial.com/Ahmedabad/Cricket-Coaching-Classes-in-Prahladnagar/nct-10147469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google.com/?cid=1029381029380129" TargetMode="External"/><Relationship Id="rId21" Type="http://schemas.openxmlformats.org/officeDocument/2006/relationships/hyperlink" Target="https://www.bbfootballschools.com/" TargetMode="External"/><Relationship Id="rId42" Type="http://schemas.openxmlformats.org/officeDocument/2006/relationships/hyperlink" Target="https://maps.google.com/?cid=3588267232230197450" TargetMode="External"/><Relationship Id="rId63" Type="http://schemas.openxmlformats.org/officeDocument/2006/relationships/hyperlink" Target="https://www.instagram.com/aufcofficial/" TargetMode="External"/><Relationship Id="rId84" Type="http://schemas.openxmlformats.org/officeDocument/2006/relationships/hyperlink" Target="https://www.facebook.com/risingsportsacademy" TargetMode="External"/><Relationship Id="rId138" Type="http://schemas.openxmlformats.org/officeDocument/2006/relationships/hyperlink" Target="https://maps.google.com/?cid=12039120391203" TargetMode="External"/><Relationship Id="rId107" Type="http://schemas.openxmlformats.org/officeDocument/2006/relationships/hyperlink" Target="https://sportsauthorityofgujarat.in/" TargetMode="External"/><Relationship Id="rId11" Type="http://schemas.openxmlformats.org/officeDocument/2006/relationships/hyperlink" Target="https://www.facebook.com/bbfootballschools/" TargetMode="External"/><Relationship Id="rId32" Type="http://schemas.openxmlformats.org/officeDocument/2006/relationships/hyperlink" Target="https://maps.google.com/?cid=13024844390509015805" TargetMode="External"/><Relationship Id="rId53" Type="http://schemas.openxmlformats.org/officeDocument/2006/relationships/hyperlink" Target="https://www.instagram.com/frmfootballprogramindia" TargetMode="External"/><Relationship Id="rId74" Type="http://schemas.openxmlformats.org/officeDocument/2006/relationships/hyperlink" Target="https://maps.google.com/?cid=13560738497672231811" TargetMode="External"/><Relationship Id="rId128" Type="http://schemas.openxmlformats.org/officeDocument/2006/relationships/hyperlink" Target="https://sports.sgvp.org/" TargetMode="External"/><Relationship Id="rId5" Type="http://schemas.openxmlformats.org/officeDocument/2006/relationships/hyperlink" Target="https://www.facebook.com/AhemdabadRacquetAcademy/" TargetMode="External"/><Relationship Id="rId90" Type="http://schemas.openxmlformats.org/officeDocument/2006/relationships/hyperlink" Target="https://maps.google.com/?cid=112093810293102" TargetMode="External"/><Relationship Id="rId95" Type="http://schemas.openxmlformats.org/officeDocument/2006/relationships/hyperlink" Target="https://www.instagram.com/golden_time_fc_1703" TargetMode="External"/><Relationship Id="rId22" Type="http://schemas.openxmlformats.org/officeDocument/2006/relationships/hyperlink" Target="https://www.instagram.com/tikitakasportsarena" TargetMode="External"/><Relationship Id="rId27" Type="http://schemas.openxmlformats.org/officeDocument/2006/relationships/hyperlink" Target="https://kahaanifc.com/" TargetMode="External"/><Relationship Id="rId43" Type="http://schemas.openxmlformats.org/officeDocument/2006/relationships/hyperlink" Target="http://www.ahmedabadsportsacademy.com/" TargetMode="External"/><Relationship Id="rId48" Type="http://schemas.openxmlformats.org/officeDocument/2006/relationships/hyperlink" Target="https://maps.google.com/?cid=3980327339893907871" TargetMode="External"/><Relationship Id="rId64" Type="http://schemas.openxmlformats.org/officeDocument/2006/relationships/hyperlink" Target="https://www.facebook.com/ahmedabadunitedfc/" TargetMode="External"/><Relationship Id="rId69" Type="http://schemas.openxmlformats.org/officeDocument/2006/relationships/hyperlink" Target="https://kidssoccerfootballacademy.co.in/" TargetMode="External"/><Relationship Id="rId113" Type="http://schemas.openxmlformats.org/officeDocument/2006/relationships/hyperlink" Target="https://maps.google.com/?cid=1920391029381029" TargetMode="External"/><Relationship Id="rId118" Type="http://schemas.openxmlformats.org/officeDocument/2006/relationships/hyperlink" Target="https://sportsauthorityofgujarat.in/" TargetMode="External"/><Relationship Id="rId134" Type="http://schemas.openxmlformats.org/officeDocument/2006/relationships/hyperlink" Target="https://sportomic.com/kabir-sports-academy" TargetMode="External"/><Relationship Id="rId139" Type="http://schemas.openxmlformats.org/officeDocument/2006/relationships/hyperlink" Target="https://www.the-aiff.com/club/16072" TargetMode="External"/><Relationship Id="rId80" Type="http://schemas.openxmlformats.org/officeDocument/2006/relationships/hyperlink" Target="https://www.instagram.com/kingstarfootballclub" TargetMode="External"/><Relationship Id="rId85" Type="http://schemas.openxmlformats.org/officeDocument/2006/relationships/hyperlink" Target="https://maps.google.com/?cid=14437213410714246882" TargetMode="External"/><Relationship Id="rId12" Type="http://schemas.openxmlformats.org/officeDocument/2006/relationships/hyperlink" Target="https://maps.google.com/?cid=17625890885141078069" TargetMode="External"/><Relationship Id="rId17" Type="http://schemas.openxmlformats.org/officeDocument/2006/relationships/hyperlink" Target="https://www.bbfootballschools.com/non-residential-academy/ahmedabad" TargetMode="External"/><Relationship Id="rId33" Type="http://schemas.openxmlformats.org/officeDocument/2006/relationships/hyperlink" Target="https://cnvidyavihar.edu.in/institutions/special-institutes/sports-academy/" TargetMode="External"/><Relationship Id="rId38" Type="http://schemas.openxmlformats.org/officeDocument/2006/relationships/hyperlink" Target="https://maps.google.com/?cid=14434237191142512109" TargetMode="External"/><Relationship Id="rId59" Type="http://schemas.openxmlformats.org/officeDocument/2006/relationships/hyperlink" Target="https://maps.google.com/?cid=17822557342617488596" TargetMode="External"/><Relationship Id="rId103" Type="http://schemas.openxmlformats.org/officeDocument/2006/relationships/hyperlink" Target="https://maps.google.com/?cid=1902381092380129" TargetMode="External"/><Relationship Id="rId108" Type="http://schemas.openxmlformats.org/officeDocument/2006/relationships/hyperlink" Target="https://www.facebook.com/SAG-Sports-Authority-of-Gujarat" TargetMode="External"/><Relationship Id="rId124" Type="http://schemas.openxmlformats.org/officeDocument/2006/relationships/hyperlink" Target="https://www.instagram.com/adanisportsline/" TargetMode="External"/><Relationship Id="rId129" Type="http://schemas.openxmlformats.org/officeDocument/2006/relationships/hyperlink" Target="https://maps.google.com/?cid=1203910293810" TargetMode="External"/><Relationship Id="rId54" Type="http://schemas.openxmlformats.org/officeDocument/2006/relationships/hyperlink" Target="https://www.facebook.com/RealMadridFoundationIndia/" TargetMode="External"/><Relationship Id="rId70" Type="http://schemas.openxmlformats.org/officeDocument/2006/relationships/hyperlink" Target="https://www.instagram.com/ksfa_football_academy" TargetMode="External"/><Relationship Id="rId75" Type="http://schemas.openxmlformats.org/officeDocument/2006/relationships/hyperlink" Target="https://www.facebook.com/v2sportsacademy" TargetMode="External"/><Relationship Id="rId91" Type="http://schemas.openxmlformats.org/officeDocument/2006/relationships/hyperlink" Target="https://www.instagram.com/vision_football_club" TargetMode="External"/><Relationship Id="rId96" Type="http://schemas.openxmlformats.org/officeDocument/2006/relationships/hyperlink" Target="https://maps.google.com/?cid=19203910293810239" TargetMode="External"/><Relationship Id="rId140" Type="http://schemas.openxmlformats.org/officeDocument/2006/relationships/hyperlink" Target="https://www.instagram.com/progressivesportsacademy" TargetMode="External"/><Relationship Id="rId145" Type="http://schemas.openxmlformats.org/officeDocument/2006/relationships/hyperlink" Target="https://www.facebook.com/ahmedabadfc" TargetMode="External"/><Relationship Id="rId1" Type="http://schemas.openxmlformats.org/officeDocument/2006/relationships/hyperlink" Target="https://www.instagram.com/fcsharpshooters/" TargetMode="External"/><Relationship Id="rId6" Type="http://schemas.openxmlformats.org/officeDocument/2006/relationships/hyperlink" Target="https://maps.google.com/?cid=16982928509015949277" TargetMode="External"/><Relationship Id="rId23" Type="http://schemas.openxmlformats.org/officeDocument/2006/relationships/hyperlink" Target="https://maps.google.com/?q=Tiki+Taka+Sports+Arena+Mumatpura+Ahmedabad" TargetMode="External"/><Relationship Id="rId28" Type="http://schemas.openxmlformats.org/officeDocument/2006/relationships/hyperlink" Target="https://www.facebook.com/kahaanisportsacademy/" TargetMode="External"/><Relationship Id="rId49" Type="http://schemas.openxmlformats.org/officeDocument/2006/relationships/hyperlink" Target="http://www.neonsportsacademy.com/" TargetMode="External"/><Relationship Id="rId114" Type="http://schemas.openxmlformats.org/officeDocument/2006/relationships/hyperlink" Target="https://www.ekaclub.net/" TargetMode="External"/><Relationship Id="rId119" Type="http://schemas.openxmlformats.org/officeDocument/2006/relationships/hyperlink" Target="https://maps.google.com/?cid=192038109238019" TargetMode="External"/><Relationship Id="rId44" Type="http://schemas.openxmlformats.org/officeDocument/2006/relationships/hyperlink" Target="https://www.facebook.com/AhmedabadSportsAcademy/" TargetMode="External"/><Relationship Id="rId60" Type="http://schemas.openxmlformats.org/officeDocument/2006/relationships/hyperlink" Target="http://sportsclub-gujarat.com/" TargetMode="External"/><Relationship Id="rId65" Type="http://schemas.openxmlformats.org/officeDocument/2006/relationships/hyperlink" Target="https://maps.google.com/?cid=7038166687002002906" TargetMode="External"/><Relationship Id="rId81" Type="http://schemas.openxmlformats.org/officeDocument/2006/relationships/hyperlink" Target="https://maps.google.com/?cid=15516949080004514524" TargetMode="External"/><Relationship Id="rId86" Type="http://schemas.openxmlformats.org/officeDocument/2006/relationships/hyperlink" Target="https://www.instagram.com/aadhyaasportsacademy" TargetMode="External"/><Relationship Id="rId130" Type="http://schemas.openxmlformats.org/officeDocument/2006/relationships/hyperlink" Target="https://www.instagram.com/futuresportsacademy_" TargetMode="External"/><Relationship Id="rId135" Type="http://schemas.openxmlformats.org/officeDocument/2006/relationships/hyperlink" Target="https://www.instagram.com/kabirsportsacademy/" TargetMode="External"/><Relationship Id="rId13" Type="http://schemas.openxmlformats.org/officeDocument/2006/relationships/hyperlink" Target="https://www.bbfootballschools.com/non-residential-academy/ahmedabad" TargetMode="External"/><Relationship Id="rId18" Type="http://schemas.openxmlformats.org/officeDocument/2006/relationships/hyperlink" Target="https://www.instagram.com/bbfootballschools/" TargetMode="External"/><Relationship Id="rId39" Type="http://schemas.openxmlformats.org/officeDocument/2006/relationships/hyperlink" Target="https://maps.google.com/?cid=7221051512403750873" TargetMode="External"/><Relationship Id="rId109" Type="http://schemas.openxmlformats.org/officeDocument/2006/relationships/hyperlink" Target="https://maps.google.com/?cid=1203981029381029" TargetMode="External"/><Relationship Id="rId34" Type="http://schemas.openxmlformats.org/officeDocument/2006/relationships/hyperlink" Target="https://www.facebook.com/cnvidyavihar/" TargetMode="External"/><Relationship Id="rId50" Type="http://schemas.openxmlformats.org/officeDocument/2006/relationships/hyperlink" Target="https://www.facebook.com/neonsportsacademy/" TargetMode="External"/><Relationship Id="rId55" Type="http://schemas.openxmlformats.org/officeDocument/2006/relationships/hyperlink" Target="https://maps.google.com/?q=Hi5ers+Multi+Sports+Arena+Thaltej+Ahmedabad" TargetMode="External"/><Relationship Id="rId76" Type="http://schemas.openxmlformats.org/officeDocument/2006/relationships/hyperlink" Target="https://maps.google.com/?cid=7410091370211158428" TargetMode="External"/><Relationship Id="rId97" Type="http://schemas.openxmlformats.org/officeDocument/2006/relationships/hyperlink" Target="https://www.instagram.com/allstarfc_vastral" TargetMode="External"/><Relationship Id="rId104" Type="http://schemas.openxmlformats.org/officeDocument/2006/relationships/hyperlink" Target="https://karnavaticlub.com/" TargetMode="External"/><Relationship Id="rId120" Type="http://schemas.openxmlformats.org/officeDocument/2006/relationships/hyperlink" Target="https://maps.google.com/?cid=1920381092380192" TargetMode="External"/><Relationship Id="rId125" Type="http://schemas.openxmlformats.org/officeDocument/2006/relationships/hyperlink" Target="https://maps.google.com/?cid=129381029381203" TargetMode="External"/><Relationship Id="rId141" Type="http://schemas.openxmlformats.org/officeDocument/2006/relationships/hyperlink" Target="https://maps.google.com/?q=Progressive+Sports+Academy+Ahmedabad" TargetMode="External"/><Relationship Id="rId146" Type="http://schemas.openxmlformats.org/officeDocument/2006/relationships/hyperlink" Target="https://maps.google.com/?q=Ahmedabad+Football+Club+Satellite" TargetMode="External"/><Relationship Id="rId7" Type="http://schemas.openxmlformats.org/officeDocument/2006/relationships/hyperlink" Target="https://www.instagram.com/sk_united_fc/" TargetMode="External"/><Relationship Id="rId71" Type="http://schemas.openxmlformats.org/officeDocument/2006/relationships/hyperlink" Target="https://maps.google.com/?cid=6084042878474291864" TargetMode="External"/><Relationship Id="rId92" Type="http://schemas.openxmlformats.org/officeDocument/2006/relationships/hyperlink" Target="https://maps.google.com/?cid=10293810293810239" TargetMode="External"/><Relationship Id="rId2" Type="http://schemas.openxmlformats.org/officeDocument/2006/relationships/hyperlink" Target="https://maps.google.com/?cid=17208571871408846768" TargetMode="External"/><Relationship Id="rId29" Type="http://schemas.openxmlformats.org/officeDocument/2006/relationships/hyperlink" Target="https://maps.google.com/?cid=1328912389123019" TargetMode="External"/><Relationship Id="rId24" Type="http://schemas.openxmlformats.org/officeDocument/2006/relationships/hyperlink" Target="https://kahaanifc.com/" TargetMode="External"/><Relationship Id="rId40" Type="http://schemas.openxmlformats.org/officeDocument/2006/relationships/hyperlink" Target="http://www.ahmedabadsportsacademy.com/" TargetMode="External"/><Relationship Id="rId45" Type="http://schemas.openxmlformats.org/officeDocument/2006/relationships/hyperlink" Target="https://maps.google.com/?cid=12981293812903" TargetMode="External"/><Relationship Id="rId66" Type="http://schemas.openxmlformats.org/officeDocument/2006/relationships/hyperlink" Target="https://maps.google.com/?cid=8818817926710480025" TargetMode="External"/><Relationship Id="rId87" Type="http://schemas.openxmlformats.org/officeDocument/2006/relationships/hyperlink" Target="https://maps.google.com/?cid=14093952778749393747" TargetMode="External"/><Relationship Id="rId110" Type="http://schemas.openxmlformats.org/officeDocument/2006/relationships/hyperlink" Target="https://florysocceracademy.wordpress.com/" TargetMode="External"/><Relationship Id="rId115" Type="http://schemas.openxmlformats.org/officeDocument/2006/relationships/hyperlink" Target="https://www.instagram.com/ekaclubahmedabad" TargetMode="External"/><Relationship Id="rId131" Type="http://schemas.openxmlformats.org/officeDocument/2006/relationships/hyperlink" Target="https://maps.google.com/?cid=102938102938012" TargetMode="External"/><Relationship Id="rId136" Type="http://schemas.openxmlformats.org/officeDocument/2006/relationships/hyperlink" Target="https://maps.google.com/?cid=120391820391203" TargetMode="External"/><Relationship Id="rId61" Type="http://schemas.openxmlformats.org/officeDocument/2006/relationships/hyperlink" Target="https://maps.google.com/?cid=12634351654157836401" TargetMode="External"/><Relationship Id="rId82" Type="http://schemas.openxmlformats.org/officeDocument/2006/relationships/hyperlink" Target="https://maps.google.com/?cid=8490595204423875309" TargetMode="External"/><Relationship Id="rId19" Type="http://schemas.openxmlformats.org/officeDocument/2006/relationships/hyperlink" Target="https://www.facebook.com/bbfootballschools/" TargetMode="External"/><Relationship Id="rId14" Type="http://schemas.openxmlformats.org/officeDocument/2006/relationships/hyperlink" Target="https://www.instagram.com/bbfootballschools/" TargetMode="External"/><Relationship Id="rId30" Type="http://schemas.openxmlformats.org/officeDocument/2006/relationships/hyperlink" Target="https://www.instagram.com/ansh_fc/" TargetMode="External"/><Relationship Id="rId35" Type="http://schemas.openxmlformats.org/officeDocument/2006/relationships/hyperlink" Target="https://maps.google.com/?cid=11438997282833064625" TargetMode="External"/><Relationship Id="rId56" Type="http://schemas.openxmlformats.org/officeDocument/2006/relationships/hyperlink" Target="https://frmindia.com/" TargetMode="External"/><Relationship Id="rId77" Type="http://schemas.openxmlformats.org/officeDocument/2006/relationships/hyperlink" Target="https://kavyasportsacademy.com/" TargetMode="External"/><Relationship Id="rId100" Type="http://schemas.openxmlformats.org/officeDocument/2006/relationships/hyperlink" Target="https://www.instagram.com/thegrowsports" TargetMode="External"/><Relationship Id="rId105" Type="http://schemas.openxmlformats.org/officeDocument/2006/relationships/hyperlink" Target="https://www.facebook.com/karnavaticlubltd/" TargetMode="External"/><Relationship Id="rId126" Type="http://schemas.openxmlformats.org/officeDocument/2006/relationships/hyperlink" Target="https://www.instagram.com/jugamos_sports_academy" TargetMode="External"/><Relationship Id="rId147" Type="http://schemas.openxmlformats.org/officeDocument/2006/relationships/table" Target="../tables/table2.xml"/><Relationship Id="rId8" Type="http://schemas.openxmlformats.org/officeDocument/2006/relationships/hyperlink" Target="https://maps.google.com/?cid=1903673550486005777" TargetMode="External"/><Relationship Id="rId51" Type="http://schemas.openxmlformats.org/officeDocument/2006/relationships/hyperlink" Target="https://maps.google.com/?cid=1823901283091" TargetMode="External"/><Relationship Id="rId72" Type="http://schemas.openxmlformats.org/officeDocument/2006/relationships/hyperlink" Target="https://www.instagram.com/athletes_fc/" TargetMode="External"/><Relationship Id="rId93" Type="http://schemas.openxmlformats.org/officeDocument/2006/relationships/hyperlink" Target="https://adfa.in/" TargetMode="External"/><Relationship Id="rId98" Type="http://schemas.openxmlformats.org/officeDocument/2006/relationships/hyperlink" Target="https://maps.google.com/?cid=12039120391029312" TargetMode="External"/><Relationship Id="rId121" Type="http://schemas.openxmlformats.org/officeDocument/2006/relationships/hyperlink" Target="https://ahmedabadcity.gov.in/" TargetMode="External"/><Relationship Id="rId142" Type="http://schemas.openxmlformats.org/officeDocument/2006/relationships/hyperlink" Target="https://www.facebook.com/gujaratsportsacademy" TargetMode="External"/><Relationship Id="rId3" Type="http://schemas.openxmlformats.org/officeDocument/2006/relationships/hyperlink" Target="https://www.racquetacademy.in/football" TargetMode="External"/><Relationship Id="rId25" Type="http://schemas.openxmlformats.org/officeDocument/2006/relationships/hyperlink" Target="https://www.facebook.com/kahaanifc/" TargetMode="External"/><Relationship Id="rId46" Type="http://schemas.openxmlformats.org/officeDocument/2006/relationships/hyperlink" Target="http://www.neonsportsacademy.com/" TargetMode="External"/><Relationship Id="rId67" Type="http://schemas.openxmlformats.org/officeDocument/2006/relationships/hyperlink" Target="https://www.instagram.com/mssportsacademy/" TargetMode="External"/><Relationship Id="rId116" Type="http://schemas.openxmlformats.org/officeDocument/2006/relationships/hyperlink" Target="https://www.facebook.com/EKAClubAhmedabad/" TargetMode="External"/><Relationship Id="rId137" Type="http://schemas.openxmlformats.org/officeDocument/2006/relationships/hyperlink" Target="https://www.facebook.com/rhkapadiasportsacademy/" TargetMode="External"/><Relationship Id="rId20" Type="http://schemas.openxmlformats.org/officeDocument/2006/relationships/hyperlink" Target="https://maps.google.com/?cid=12108422329240319412" TargetMode="External"/><Relationship Id="rId41" Type="http://schemas.openxmlformats.org/officeDocument/2006/relationships/hyperlink" Target="https://www.facebook.com/AhmedabadSportsAcademy/" TargetMode="External"/><Relationship Id="rId62" Type="http://schemas.openxmlformats.org/officeDocument/2006/relationships/hyperlink" Target="http://www.ahmedabadunited.com/" TargetMode="External"/><Relationship Id="rId83" Type="http://schemas.openxmlformats.org/officeDocument/2006/relationships/hyperlink" Target="http://www.risingsportsacademy.com/" TargetMode="External"/><Relationship Id="rId88" Type="http://schemas.openxmlformats.org/officeDocument/2006/relationships/hyperlink" Target="https://maps.google.com/?cid=15668614488277252014" TargetMode="External"/><Relationship Id="rId111" Type="http://schemas.openxmlformats.org/officeDocument/2006/relationships/hyperlink" Target="https://www.facebook.com/FlorySoccerAcademy/" TargetMode="External"/><Relationship Id="rId132" Type="http://schemas.openxmlformats.org/officeDocument/2006/relationships/hyperlink" Target="https://www.instagram.com/aekumsports/" TargetMode="External"/><Relationship Id="rId15" Type="http://schemas.openxmlformats.org/officeDocument/2006/relationships/hyperlink" Target="https://www.facebook.com/bbfootballschools/" TargetMode="External"/><Relationship Id="rId36" Type="http://schemas.openxmlformats.org/officeDocument/2006/relationships/hyperlink" Target="https://sites.google.com/view/bornathletessportsacademy/home" TargetMode="External"/><Relationship Id="rId57" Type="http://schemas.openxmlformats.org/officeDocument/2006/relationships/hyperlink" Target="https://www.instagram.com/frmfootballprogramindia" TargetMode="External"/><Relationship Id="rId106" Type="http://schemas.openxmlformats.org/officeDocument/2006/relationships/hyperlink" Target="https://www.justdial.com/Ahmedabad/Karnavati-Football-Club-Beside-Bright-School-Vatva/079PXX79-XX79-251203130353-R2F3_BZDET" TargetMode="External"/><Relationship Id="rId127" Type="http://schemas.openxmlformats.org/officeDocument/2006/relationships/hyperlink" Target="https://maps.google.com/?cid=1209381029380129" TargetMode="External"/><Relationship Id="rId10" Type="http://schemas.openxmlformats.org/officeDocument/2006/relationships/hyperlink" Target="https://www.instagram.com/bbfootballschools/" TargetMode="External"/><Relationship Id="rId31" Type="http://schemas.openxmlformats.org/officeDocument/2006/relationships/hyperlink" Target="https://www.facebook.com/100069789726316/" TargetMode="External"/><Relationship Id="rId52" Type="http://schemas.openxmlformats.org/officeDocument/2006/relationships/hyperlink" Target="https://frmindia.com/home/our-centres/ahmedabad/thaltej/" TargetMode="External"/><Relationship Id="rId73" Type="http://schemas.openxmlformats.org/officeDocument/2006/relationships/hyperlink" Target="https://maps.google.com/?cid=3476483447959077858" TargetMode="External"/><Relationship Id="rId78" Type="http://schemas.openxmlformats.org/officeDocument/2006/relationships/hyperlink" Target="https://www.facebook.com/kavyasportsacademy" TargetMode="External"/><Relationship Id="rId94" Type="http://schemas.openxmlformats.org/officeDocument/2006/relationships/hyperlink" Target="https://maps.google.com/?cid=182938192039102" TargetMode="External"/><Relationship Id="rId99" Type="http://schemas.openxmlformats.org/officeDocument/2006/relationships/hyperlink" Target="http://thegrowsports.com/" TargetMode="External"/><Relationship Id="rId101" Type="http://schemas.openxmlformats.org/officeDocument/2006/relationships/hyperlink" Target="https://www.facebook.com/thegrowsports" TargetMode="External"/><Relationship Id="rId122" Type="http://schemas.openxmlformats.org/officeDocument/2006/relationships/hyperlink" Target="https://maps.google.com/?cid=192038102938102" TargetMode="External"/><Relationship Id="rId143" Type="http://schemas.openxmlformats.org/officeDocument/2006/relationships/hyperlink" Target="https://maps.google.com/?q=Gujarat+Sports+Academy+Chandlodiya+Ahmedabad" TargetMode="External"/><Relationship Id="rId4" Type="http://schemas.openxmlformats.org/officeDocument/2006/relationships/hyperlink" Target="https://www.instagram.com/ara_fc_official" TargetMode="External"/><Relationship Id="rId9" Type="http://schemas.openxmlformats.org/officeDocument/2006/relationships/hyperlink" Target="https://www.bbfootballschools.com/" TargetMode="External"/><Relationship Id="rId26" Type="http://schemas.openxmlformats.org/officeDocument/2006/relationships/hyperlink" Target="https://maps.google.com/?cid=6640822606554898893" TargetMode="External"/><Relationship Id="rId47" Type="http://schemas.openxmlformats.org/officeDocument/2006/relationships/hyperlink" Target="https://www.facebook.com/neonsportsacademy/" TargetMode="External"/><Relationship Id="rId68" Type="http://schemas.openxmlformats.org/officeDocument/2006/relationships/hyperlink" Target="https://maps.google.com/?cid=8322638421888204439" TargetMode="External"/><Relationship Id="rId89" Type="http://schemas.openxmlformats.org/officeDocument/2006/relationships/hyperlink" Target="https://www.instagram.com/psfc_football_academy" TargetMode="External"/><Relationship Id="rId112" Type="http://schemas.openxmlformats.org/officeDocument/2006/relationships/hyperlink" Target="https://maps.google.com/?cid=19203810923812" TargetMode="External"/><Relationship Id="rId133" Type="http://schemas.openxmlformats.org/officeDocument/2006/relationships/hyperlink" Target="https://maps.google.com/?cid=192038109238012" TargetMode="External"/><Relationship Id="rId16" Type="http://schemas.openxmlformats.org/officeDocument/2006/relationships/hyperlink" Target="https://maps.google.com/?cid=5738842609040365105" TargetMode="External"/><Relationship Id="rId37" Type="http://schemas.openxmlformats.org/officeDocument/2006/relationships/hyperlink" Target="https://maps.google.com/?cid=17042562479010475531" TargetMode="External"/><Relationship Id="rId58" Type="http://schemas.openxmlformats.org/officeDocument/2006/relationships/hyperlink" Target="https://www.facebook.com/RealMadridFoundationIndia/" TargetMode="External"/><Relationship Id="rId79" Type="http://schemas.openxmlformats.org/officeDocument/2006/relationships/hyperlink" Target="https://maps.google.com/?cid=15822312658933253225" TargetMode="External"/><Relationship Id="rId102" Type="http://schemas.openxmlformats.org/officeDocument/2006/relationships/hyperlink" Target="https://maps.google.com/?cid=12938190238102391" TargetMode="External"/><Relationship Id="rId123" Type="http://schemas.openxmlformats.org/officeDocument/2006/relationships/hyperlink" Target="https://adanisportsline.com/Academies" TargetMode="External"/><Relationship Id="rId144" Type="http://schemas.openxmlformats.org/officeDocument/2006/relationships/hyperlink" Target="https://www.the-aiff.com/club/8265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google.com/?cid=ChIJRdgugYeDXjkRfJmMVhaxs2Y" TargetMode="External"/><Relationship Id="rId21" Type="http://schemas.openxmlformats.org/officeDocument/2006/relationships/hyperlink" Target="https://www.h3sportsacademy.com/" TargetMode="External"/><Relationship Id="rId42" Type="http://schemas.openxmlformats.org/officeDocument/2006/relationships/hyperlink" Target="https://inhouse-amcmodules.ahmedabadcity.gov.in:11150/" TargetMode="External"/><Relationship Id="rId47" Type="http://schemas.openxmlformats.org/officeDocument/2006/relationships/hyperlink" Target="https://maps.google.com/?cid=ChIJGb-kK0abXjkRQ4g_zQB2Wjo" TargetMode="External"/><Relationship Id="rId63" Type="http://schemas.openxmlformats.org/officeDocument/2006/relationships/hyperlink" Target="mailto:us2-synca@gujarat.gov.in" TargetMode="External"/><Relationship Id="rId68" Type="http://schemas.openxmlformats.org/officeDocument/2006/relationships/hyperlink" Target="https://www.google.com/maps/place/?q=place_id:ChIJ_SFaCM6DXjkRwDrM8hEwnMQ" TargetMode="External"/><Relationship Id="rId84" Type="http://schemas.openxmlformats.org/officeDocument/2006/relationships/hyperlink" Target="https://www.google.com/maps/place/?q=place_id:ChIJ5_ZLOE-HXjkRefT8VwokSwY" TargetMode="External"/><Relationship Id="rId89" Type="http://schemas.openxmlformats.org/officeDocument/2006/relationships/hyperlink" Target="https://www.google.com/maps/place/?q=place_id:ChIJYX5KuiObXjkRfFu0TPe9r7s" TargetMode="External"/><Relationship Id="rId16" Type="http://schemas.openxmlformats.org/officeDocument/2006/relationships/hyperlink" Target="https://maps.google.com/?cid=ChIJ9caRTqyDXjkRvoduPYiITjY" TargetMode="External"/><Relationship Id="rId11" Type="http://schemas.openxmlformats.org/officeDocument/2006/relationships/hyperlink" Target="https://www.racquetacademy.in/" TargetMode="External"/><Relationship Id="rId32" Type="http://schemas.openxmlformats.org/officeDocument/2006/relationships/hyperlink" Target="https://maps.google.com/?cid=ChIJyRjeUQCHXjkRPQJiFwCdYP8" TargetMode="External"/><Relationship Id="rId37" Type="http://schemas.openxmlformats.org/officeDocument/2006/relationships/hyperlink" Target="https://sycd.gujarat.gov.in/" TargetMode="External"/><Relationship Id="rId53" Type="http://schemas.openxmlformats.org/officeDocument/2006/relationships/hyperlink" Target="https://neonsportsacademy.com/" TargetMode="External"/><Relationship Id="rId58" Type="http://schemas.openxmlformats.org/officeDocument/2006/relationships/hyperlink" Target="https://badminton-academy-1.ueniweb.com/?utm_campaign=gmb" TargetMode="External"/><Relationship Id="rId74" Type="http://schemas.openxmlformats.org/officeDocument/2006/relationships/hyperlink" Target="https://www.google.com/maps/place/?q=place_id:ChIJ9caRTqyDXjkRvoduPYiITjY" TargetMode="External"/><Relationship Id="rId79" Type="http://schemas.openxmlformats.org/officeDocument/2006/relationships/hyperlink" Target="https://www.google.com/maps/place/?q=place_id:ChIJr6AN15qHXjkRGZFlb0ujISQ" TargetMode="External"/><Relationship Id="rId102" Type="http://schemas.openxmlformats.org/officeDocument/2006/relationships/hyperlink" Target="https://www.google.com/maps/place/?q=place_id:ChIJCw2uynSGXjkRVFjDa-8UHk0" TargetMode="External"/><Relationship Id="rId5" Type="http://schemas.openxmlformats.org/officeDocument/2006/relationships/hyperlink" Target="http://www.ahmedabadsportsacademy.com/" TargetMode="External"/><Relationship Id="rId90" Type="http://schemas.openxmlformats.org/officeDocument/2006/relationships/hyperlink" Target="https://www.google.com/maps/place/?q=place_id:ChIJEfObjQubXjkRpzd0Z60S8gI" TargetMode="External"/><Relationship Id="rId95" Type="http://schemas.openxmlformats.org/officeDocument/2006/relationships/hyperlink" Target="https://www.google.com/maps/place/?q=place_id:ChIJKR1rrouEXjkRceBsiuClM68" TargetMode="External"/><Relationship Id="rId22" Type="http://schemas.openxmlformats.org/officeDocument/2006/relationships/hyperlink" Target="https://thesportsgurukul.com/" TargetMode="External"/><Relationship Id="rId27" Type="http://schemas.openxmlformats.org/officeDocument/2006/relationships/hyperlink" Target="https://maps.google.com/?cid=ChIJBY75GQCDXjkR40xARdtdVVE" TargetMode="External"/><Relationship Id="rId43" Type="http://schemas.openxmlformats.org/officeDocument/2006/relationships/hyperlink" Target="https://maps.google.com/?cid=ChIJ5_ZLOE-HXjkRefT8VwokSwY" TargetMode="External"/><Relationship Id="rId48" Type="http://schemas.openxmlformats.org/officeDocument/2006/relationships/hyperlink" Target="https://badminton-academy-1.ueniweb.com/?utm_campaign=gmb" TargetMode="External"/><Relationship Id="rId64" Type="http://schemas.openxmlformats.org/officeDocument/2006/relationships/hyperlink" Target="https://www.google.com/maps/place/?q=place_id:ChIJj5f6Pj-dXjkR-DAXQODIGxI" TargetMode="External"/><Relationship Id="rId69" Type="http://schemas.openxmlformats.org/officeDocument/2006/relationships/hyperlink" Target="https://www.google.com/maps/place/?q=place_id:ChIJWUrcDTGFXjkRzJT6w9Keqds" TargetMode="External"/><Relationship Id="rId80" Type="http://schemas.openxmlformats.org/officeDocument/2006/relationships/hyperlink" Target="https://www.google.com/maps/place/?q=place_id:ChIJyRjeUQCHXjkRPQJiFwCdYP8" TargetMode="External"/><Relationship Id="rId85" Type="http://schemas.openxmlformats.org/officeDocument/2006/relationships/hyperlink" Target="https://www.google.com/maps/place/?q=place_id:ChIJd7nUof-GXjkRN3gkG2D1ZRc" TargetMode="External"/><Relationship Id="rId12" Type="http://schemas.openxmlformats.org/officeDocument/2006/relationships/hyperlink" Target="http://www.racquetacademy.in/" TargetMode="External"/><Relationship Id="rId17" Type="http://schemas.openxmlformats.org/officeDocument/2006/relationships/hyperlink" Target="https://youtube.com/channel/UCAZb6V_lf6NPGBqWGoZmJJA" TargetMode="External"/><Relationship Id="rId33" Type="http://schemas.openxmlformats.org/officeDocument/2006/relationships/hyperlink" Target="https://maps.google.com/?cid=ChIJm1REAACFXjkRHAqxkwz7M10" TargetMode="External"/><Relationship Id="rId38" Type="http://schemas.openxmlformats.org/officeDocument/2006/relationships/hyperlink" Target="https://maps.google.com/?cid=ChIJCw2uynSGXjkRVFjDa-8UHk0" TargetMode="External"/><Relationship Id="rId59" Type="http://schemas.openxmlformats.org/officeDocument/2006/relationships/hyperlink" Target="https://badminton-academy-1.ueniweb.com/?utm_campaign=gmb" TargetMode="External"/><Relationship Id="rId103" Type="http://schemas.openxmlformats.org/officeDocument/2006/relationships/hyperlink" Target="https://www.google.com/maps/place/?q=place_id:ChIJ4WPcrjyHXjkRRl7_JXXldto" TargetMode="External"/><Relationship Id="rId20" Type="http://schemas.openxmlformats.org/officeDocument/2006/relationships/hyperlink" Target="https://www.h3sportsacademy.com/" TargetMode="External"/><Relationship Id="rId41" Type="http://schemas.openxmlformats.org/officeDocument/2006/relationships/hyperlink" Target="https://maps.google.com/?cid=ChIJY4lkvruGXjkRL39OrX10bDA" TargetMode="External"/><Relationship Id="rId54" Type="http://schemas.openxmlformats.org/officeDocument/2006/relationships/hyperlink" Target="http://www.neonsportsacademy.com/" TargetMode="External"/><Relationship Id="rId62" Type="http://schemas.openxmlformats.org/officeDocument/2006/relationships/hyperlink" Target="http://sportsclub-gujarat.com/" TargetMode="External"/><Relationship Id="rId70" Type="http://schemas.openxmlformats.org/officeDocument/2006/relationships/hyperlink" Target="https://www.google.com/maps/place/?q=place_id:ChIJ726EYOOEXjkRseJcpVKQtps" TargetMode="External"/><Relationship Id="rId75" Type="http://schemas.openxmlformats.org/officeDocument/2006/relationships/hyperlink" Target="https://www.google.com/maps/place/?q=place_id:ChIJCVADxY2DXjkRFQCy860Z_Io" TargetMode="External"/><Relationship Id="rId83" Type="http://schemas.openxmlformats.org/officeDocument/2006/relationships/hyperlink" Target="https://www.google.com/maps/place/?q=place_id:ChIJWaLOtS6HXjkRr2WeMzwnr2k" TargetMode="External"/><Relationship Id="rId88" Type="http://schemas.openxmlformats.org/officeDocument/2006/relationships/hyperlink" Target="https://www.google.com/maps/place/?q=place_id:ChIJJcCELY2bXjkRMeL_oldnmCI" TargetMode="External"/><Relationship Id="rId91" Type="http://schemas.openxmlformats.org/officeDocument/2006/relationships/hyperlink" Target="https://www.google.com/maps/place/?q=place_id:ChIJXU05BF-bXjkRhMXnW8C-7QQ" TargetMode="External"/><Relationship Id="rId96" Type="http://schemas.openxmlformats.org/officeDocument/2006/relationships/hyperlink" Target="https://www.google.com/maps/place/?q=place_id:ChIJjwq8yfmDXjkRPTKbwRIxECE" TargetMode="External"/><Relationship Id="rId1" Type="http://schemas.openxmlformats.org/officeDocument/2006/relationships/hyperlink" Target="https://shuttleempire.com/" TargetMode="External"/><Relationship Id="rId6" Type="http://schemas.openxmlformats.org/officeDocument/2006/relationships/hyperlink" Target="https://maps.google.com/?cid=12242145396555017188" TargetMode="External"/><Relationship Id="rId15" Type="http://schemas.openxmlformats.org/officeDocument/2006/relationships/hyperlink" Target="https://maps.google.com/?cid=ChIJ9Q0VrNadXjkRmXDeo4CXCXo" TargetMode="External"/><Relationship Id="rId23" Type="http://schemas.openxmlformats.org/officeDocument/2006/relationships/hyperlink" Target="https://www.thesportsgurukul.com/" TargetMode="External"/><Relationship Id="rId28" Type="http://schemas.openxmlformats.org/officeDocument/2006/relationships/hyperlink" Target="https://ahmedabadcity.gov.in/" TargetMode="External"/><Relationship Id="rId36" Type="http://schemas.openxmlformats.org/officeDocument/2006/relationships/hyperlink" Target="http://thegrowsports.com/" TargetMode="External"/><Relationship Id="rId49" Type="http://schemas.openxmlformats.org/officeDocument/2006/relationships/hyperlink" Target="https://badminton-campaign-1.ueniweb.com/" TargetMode="External"/><Relationship Id="rId57" Type="http://schemas.openxmlformats.org/officeDocument/2006/relationships/hyperlink" Target="https://www.instagram.com/jugamos_sports_academy" TargetMode="External"/><Relationship Id="rId10" Type="http://schemas.openxmlformats.org/officeDocument/2006/relationships/hyperlink" Target="https://cnvidyavihar.edu.in/institutions/special-institutes/sports-academy/" TargetMode="External"/><Relationship Id="rId31" Type="http://schemas.openxmlformats.org/officeDocument/2006/relationships/hyperlink" Target="https://www.instagram.com/sai_group_badminton/" TargetMode="External"/><Relationship Id="rId44" Type="http://schemas.openxmlformats.org/officeDocument/2006/relationships/hyperlink" Target="https://maps.google.com/?cid=ChIJd7nUof-GXjkRN3gkG2D1ZRc" TargetMode="External"/><Relationship Id="rId52" Type="http://schemas.openxmlformats.org/officeDocument/2006/relationships/hyperlink" Target="http://vijayibharatsports.org/" TargetMode="External"/><Relationship Id="rId60" Type="http://schemas.openxmlformats.org/officeDocument/2006/relationships/hyperlink" Target="https://maps.google.com/?cid=4378125550212352780" TargetMode="External"/><Relationship Id="rId65" Type="http://schemas.openxmlformats.org/officeDocument/2006/relationships/hyperlink" Target="https://www.google.com/maps/place/?q=place_id:ChIJ9Xjtc7ODXjkR_EvuOaXYLHg" TargetMode="External"/><Relationship Id="rId73" Type="http://schemas.openxmlformats.org/officeDocument/2006/relationships/hyperlink" Target="https://www.google.com/maps/place/?q=place_id:ChIJ9Q0VrNadXjkRmXDeo4CXCXo" TargetMode="External"/><Relationship Id="rId78" Type="http://schemas.openxmlformats.org/officeDocument/2006/relationships/hyperlink" Target="https://www.google.com/maps/place/?q=place_id:ChIJN-KrpsaDXjkRAPl7FGV8m2I" TargetMode="External"/><Relationship Id="rId81" Type="http://schemas.openxmlformats.org/officeDocument/2006/relationships/hyperlink" Target="https://www.google.com/maps/place/?q=place_id:ChIJm1REAACFXjkRHAqxkwz7M10" TargetMode="External"/><Relationship Id="rId86" Type="http://schemas.openxmlformats.org/officeDocument/2006/relationships/hyperlink" Target="https://www.google.com/maps/place/?q=place_id:ChIJGb-kK0abXjkRQ4g_zQB2Wjo" TargetMode="External"/><Relationship Id="rId94" Type="http://schemas.openxmlformats.org/officeDocument/2006/relationships/hyperlink" Target="https://www.google.com/maps/place/?q=place_id:ChIJm49AiKKcXjkRDKtUOxk2Ijs" TargetMode="External"/><Relationship Id="rId99" Type="http://schemas.openxmlformats.org/officeDocument/2006/relationships/hyperlink" Target="https://www.google.com/maps/place/?q=place_id:ChIJfR5LO6qDXjkRXo2YpqqCfYU" TargetMode="External"/><Relationship Id="rId101" Type="http://schemas.openxmlformats.org/officeDocument/2006/relationships/hyperlink" Target="https://www.google.com/maps/place/?q=place_id:ChIJhcqxxu-HXjkRaMlQrFnvlwc" TargetMode="External"/><Relationship Id="rId4" Type="http://schemas.openxmlformats.org/officeDocument/2006/relationships/hyperlink" Target="https://ahmedabadsportsacademy.com/" TargetMode="External"/><Relationship Id="rId9" Type="http://schemas.openxmlformats.org/officeDocument/2006/relationships/hyperlink" Target="https://cnvidyavihar.edu.in/institutions/special-institutes/sports-academy/" TargetMode="External"/><Relationship Id="rId13" Type="http://schemas.openxmlformats.org/officeDocument/2006/relationships/hyperlink" Target="https://neonsportsacademy.com/" TargetMode="External"/><Relationship Id="rId18" Type="http://schemas.openxmlformats.org/officeDocument/2006/relationships/hyperlink" Target="https://www.swaraajsports.com/" TargetMode="External"/><Relationship Id="rId39" Type="http://schemas.openxmlformats.org/officeDocument/2006/relationships/hyperlink" Target="https://www.justdial.com/Ahmedabad/Badminton-Classes-in-Nikol/nct-10031633" TargetMode="External"/><Relationship Id="rId34" Type="http://schemas.openxmlformats.org/officeDocument/2006/relationships/hyperlink" Target="https://maps.google.com/?cid=ChIJ3wNL7VaHXjkRGDqBYB5sDns" TargetMode="External"/><Relationship Id="rId50" Type="http://schemas.openxmlformats.org/officeDocument/2006/relationships/hyperlink" Target="https://maps.google.com/?cid=ChIJJcCELY2bXjkRMeL_oldnmCI" TargetMode="External"/><Relationship Id="rId55" Type="http://schemas.openxmlformats.org/officeDocument/2006/relationships/hyperlink" Target="https://ahmedabadsportsacademy.com/" TargetMode="External"/><Relationship Id="rId76" Type="http://schemas.openxmlformats.org/officeDocument/2006/relationships/hyperlink" Target="https://www.google.com/maps/place/?q=place_id:ChIJG6aZFh6DXjkRYTc2ioMcUiM" TargetMode="External"/><Relationship Id="rId97" Type="http://schemas.openxmlformats.org/officeDocument/2006/relationships/hyperlink" Target="https://www.google.com/maps/place/?q=place_id:ChIJRdgugYeDXjkRfJmMVhaxs2Y" TargetMode="External"/><Relationship Id="rId104" Type="http://schemas.openxmlformats.org/officeDocument/2006/relationships/hyperlink" Target="https://www.google.com/maps/place/?q=place_id:ChIJY4lkvruGXjkRL39OrX10bDA" TargetMode="External"/><Relationship Id="rId7" Type="http://schemas.openxmlformats.org/officeDocument/2006/relationships/hyperlink" Target="https://maps.google.com/?cid=ChIJ_SFaCM6DXjkRwDrM8hEwnMQ" TargetMode="External"/><Relationship Id="rId71" Type="http://schemas.openxmlformats.org/officeDocument/2006/relationships/hyperlink" Target="https://www.google.com/maps/place/?q=place_id:ChIJo7aWnGibXjkR3WL_mPeteDs" TargetMode="External"/><Relationship Id="rId92" Type="http://schemas.openxmlformats.org/officeDocument/2006/relationships/hyperlink" Target="https://www.google.com/maps/place/?q=place_id:ChIJY8SzGKubXjkR8PVVvHBc6Go" TargetMode="External"/><Relationship Id="rId2" Type="http://schemas.openxmlformats.org/officeDocument/2006/relationships/hyperlink" Target="https://blackkandonesports.com/" TargetMode="External"/><Relationship Id="rId29" Type="http://schemas.openxmlformats.org/officeDocument/2006/relationships/hyperlink" Target="https://maps.google.com/?cid=ChIJfR5LO6qDXjkRXo2YpqqCfYU" TargetMode="External"/><Relationship Id="rId24" Type="http://schemas.openxmlformats.org/officeDocument/2006/relationships/hyperlink" Target="https://sportomic.com/akshar-sports-academy" TargetMode="External"/><Relationship Id="rId40" Type="http://schemas.openxmlformats.org/officeDocument/2006/relationships/hyperlink" Target="https://ahmedabadcity.gov.in/" TargetMode="External"/><Relationship Id="rId45" Type="http://schemas.openxmlformats.org/officeDocument/2006/relationships/hyperlink" Target="https://sycd.gujarat.gov.in/" TargetMode="External"/><Relationship Id="rId66" Type="http://schemas.openxmlformats.org/officeDocument/2006/relationships/hyperlink" Target="https://www.google.com/maps/place/?q=place_id:ChIJTf9VAVGbXjkRykkZTz-J4zE" TargetMode="External"/><Relationship Id="rId87" Type="http://schemas.openxmlformats.org/officeDocument/2006/relationships/hyperlink" Target="https://www.google.com/maps/place/?q=place_id:ChIJGYpUhNebXjkRrlT7xcCfhdU" TargetMode="External"/><Relationship Id="rId61" Type="http://schemas.openxmlformats.org/officeDocument/2006/relationships/hyperlink" Target="https://www.sportsclub-gujarat.com/" TargetMode="External"/><Relationship Id="rId82" Type="http://schemas.openxmlformats.org/officeDocument/2006/relationships/hyperlink" Target="https://www.google.com/maps/place/?q=place_id:ChIJ3wNL7VaHXjkRGDqBYB5sDns" TargetMode="External"/><Relationship Id="rId19" Type="http://schemas.openxmlformats.org/officeDocument/2006/relationships/hyperlink" Target="https://swaraajsports.com/" TargetMode="External"/><Relationship Id="rId14" Type="http://schemas.openxmlformats.org/officeDocument/2006/relationships/hyperlink" Target="http://www.neonsportsacademy.com/" TargetMode="External"/><Relationship Id="rId30" Type="http://schemas.openxmlformats.org/officeDocument/2006/relationships/hyperlink" Target="https://maps.google.com/?cid=ChIJzU6Jp5qEXjkRMf8G7mJ7HkE" TargetMode="External"/><Relationship Id="rId35" Type="http://schemas.openxmlformats.org/officeDocument/2006/relationships/hyperlink" Target="http://thegrowsports.com/" TargetMode="External"/><Relationship Id="rId56" Type="http://schemas.openxmlformats.org/officeDocument/2006/relationships/hyperlink" Target="http://www.ahmedabadsportsacademy.com/" TargetMode="External"/><Relationship Id="rId77" Type="http://schemas.openxmlformats.org/officeDocument/2006/relationships/hyperlink" Target="https://www.google.com/maps/place/?q=place_id:ChIJs_Rg9uqDXjkR3NHDoyZLV4Q" TargetMode="External"/><Relationship Id="rId100" Type="http://schemas.openxmlformats.org/officeDocument/2006/relationships/hyperlink" Target="https://www.google.com/maps/place/?q=place_id:ChIJzU6Jp5qEXjkRMf8G7mJ7HkE" TargetMode="External"/><Relationship Id="rId105" Type="http://schemas.openxmlformats.org/officeDocument/2006/relationships/table" Target="../tables/table3.xml"/><Relationship Id="rId8" Type="http://schemas.openxmlformats.org/officeDocument/2006/relationships/hyperlink" Target="https://maps.google.com/?cid=ChIJWUrcDTGFXjkRzJT6w9Keqds" TargetMode="External"/><Relationship Id="rId51" Type="http://schemas.openxmlformats.org/officeDocument/2006/relationships/hyperlink" Target="https://vijayibharatsports.org/" TargetMode="External"/><Relationship Id="rId72" Type="http://schemas.openxmlformats.org/officeDocument/2006/relationships/hyperlink" Target="https://www.google.com/maps/place/?q=place_id:ChIJUW4R-66cXjkRn0ILQGwBAzk" TargetMode="External"/><Relationship Id="rId93" Type="http://schemas.openxmlformats.org/officeDocument/2006/relationships/hyperlink" Target="https://www.google.com/maps/place/?q=place_id:ChIJjYW-ViSbXjkRHCeMi-Xc5JU" TargetMode="External"/><Relationship Id="rId98" Type="http://schemas.openxmlformats.org/officeDocument/2006/relationships/hyperlink" Target="https://www.google.com/maps/place/?q=place_id:ChIJBY75GQCDXjkR40xARdtdVVE" TargetMode="External"/><Relationship Id="rId3" Type="http://schemas.openxmlformats.org/officeDocument/2006/relationships/hyperlink" Target="https://blackkandonesports.com/" TargetMode="External"/><Relationship Id="rId25" Type="http://schemas.openxmlformats.org/officeDocument/2006/relationships/hyperlink" Target="https://sportomic.com/akshar-sports-academy" TargetMode="External"/><Relationship Id="rId46" Type="http://schemas.openxmlformats.org/officeDocument/2006/relationships/hyperlink" Target="https://maps.google.com/?cid=ChIJhcqxxu-HXjkRaMlQrFnvlwc" TargetMode="External"/><Relationship Id="rId67" Type="http://schemas.openxmlformats.org/officeDocument/2006/relationships/hyperlink" Target="https://www.google.com/maps/place/?q=place_id:ChIJZXzAolyFXjkR5OtjSBFoCos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karnavaticlub.com/" TargetMode="External"/><Relationship Id="rId21" Type="http://schemas.openxmlformats.org/officeDocument/2006/relationships/hyperlink" Target="https://ahmedabadcity.gov.in/" TargetMode="External"/><Relationship Id="rId42" Type="http://schemas.openxmlformats.org/officeDocument/2006/relationships/hyperlink" Target="https://www.google.com/maps/place/?q=place_id:ChIJn32vgHybXjkR9Vjgq9dxarI" TargetMode="External"/><Relationship Id="rId47" Type="http://schemas.openxmlformats.org/officeDocument/2006/relationships/hyperlink" Target="https://www.google.com/maps/place/?q=place_id:ChIJMSVHt_uEXjkRFxMlxyg5CqA" TargetMode="External"/><Relationship Id="rId63" Type="http://schemas.openxmlformats.org/officeDocument/2006/relationships/hyperlink" Target="https://www.google.com/maps/place/?q=place_id:ChIJqS6EFHSDXjkRBUAuf_FOx9Q" TargetMode="External"/><Relationship Id="rId68" Type="http://schemas.openxmlformats.org/officeDocument/2006/relationships/hyperlink" Target="https://www.google.com/maps/place/?q=place_id:ChIJYVU5fA0oXDkRltuCUVUCjGU" TargetMode="External"/><Relationship Id="rId84" Type="http://schemas.openxmlformats.org/officeDocument/2006/relationships/table" Target="../tables/table4.xml"/><Relationship Id="rId16" Type="http://schemas.openxmlformats.org/officeDocument/2006/relationships/hyperlink" Target="https://ahmedabadcity.gov.in/" TargetMode="External"/><Relationship Id="rId11" Type="http://schemas.openxmlformats.org/officeDocument/2006/relationships/hyperlink" Target="https://www.ekaclub.net/" TargetMode="External"/><Relationship Id="rId32" Type="http://schemas.openxmlformats.org/officeDocument/2006/relationships/hyperlink" Target="https://ahmedabadgymkhana.com/activities/" TargetMode="External"/><Relationship Id="rId37" Type="http://schemas.openxmlformats.org/officeDocument/2006/relationships/hyperlink" Target="https://ahmedabadcity.gov.in/" TargetMode="External"/><Relationship Id="rId53" Type="http://schemas.openxmlformats.org/officeDocument/2006/relationships/hyperlink" Target="https://www.google.com/maps/place/?q=place_id:ChIJq90dmFGEXjkREzVVC1ewybM" TargetMode="External"/><Relationship Id="rId58" Type="http://schemas.openxmlformats.org/officeDocument/2006/relationships/hyperlink" Target="https://www.google.com/maps/place/?q=place_id:ChIJKR1rrouEXjkRceBsiuClM68" TargetMode="External"/><Relationship Id="rId74" Type="http://schemas.openxmlformats.org/officeDocument/2006/relationships/hyperlink" Target="https://www.google.com/maps/place/?q=place_id:ChIJVVVVlQyEXjkRVHswlvfCt1c" TargetMode="External"/><Relationship Id="rId79" Type="http://schemas.openxmlformats.org/officeDocument/2006/relationships/hyperlink" Target="https://www.google.com/maps/place/?q=place_id:ChIJGZk60cubXjkRUT2lvpwnMFs" TargetMode="External"/><Relationship Id="rId5" Type="http://schemas.openxmlformats.org/officeDocument/2006/relationships/hyperlink" Target="https://ahmedabadcity.gov.in/" TargetMode="External"/><Relationship Id="rId61" Type="http://schemas.openxmlformats.org/officeDocument/2006/relationships/hyperlink" Target="https://www.google.com/maps/place/?q=place_id:ChIJQ7HlCfmGXjkRkvbulBccg5k" TargetMode="External"/><Relationship Id="rId82" Type="http://schemas.openxmlformats.org/officeDocument/2006/relationships/hyperlink" Target="https://www.google.com/maps/place/?q=place_id:ChIJ5_ZLOE-HXjkRefT8VwokSwY" TargetMode="External"/><Relationship Id="rId19" Type="http://schemas.openxmlformats.org/officeDocument/2006/relationships/hyperlink" Target="https://sportsauthorityofgujarat.in/" TargetMode="External"/><Relationship Id="rId14" Type="http://schemas.openxmlformats.org/officeDocument/2006/relationships/hyperlink" Target="https://ahmedabadcity.gov.in/" TargetMode="External"/><Relationship Id="rId22" Type="http://schemas.openxmlformats.org/officeDocument/2006/relationships/hyperlink" Target="https://ahmedabadcity.gov.in/" TargetMode="External"/><Relationship Id="rId27" Type="http://schemas.openxmlformats.org/officeDocument/2006/relationships/hyperlink" Target="https://ahmedabad.belvedereclub.in/" TargetMode="External"/><Relationship Id="rId30" Type="http://schemas.openxmlformats.org/officeDocument/2006/relationships/hyperlink" Target="https://ahmedabadcity.gov.in/" TargetMode="External"/><Relationship Id="rId35" Type="http://schemas.openxmlformats.org/officeDocument/2006/relationships/hyperlink" Target="https://ahmedabadcity.gov.in/" TargetMode="External"/><Relationship Id="rId43" Type="http://schemas.openxmlformats.org/officeDocument/2006/relationships/hyperlink" Target="https://www.google.com/maps/place/?q=place_id:ChIJ2RUnyRaGXjkRfEfMenk7p44" TargetMode="External"/><Relationship Id="rId48" Type="http://schemas.openxmlformats.org/officeDocument/2006/relationships/hyperlink" Target="https://www.google.com/maps/place/?q=place_id:ChIJiZDMOFaEXjkRdExjOn_ZEX0" TargetMode="External"/><Relationship Id="rId56" Type="http://schemas.openxmlformats.org/officeDocument/2006/relationships/hyperlink" Target="https://www.google.com/maps/place/?q=place_id:ChIJY4lkvruGXjkRL39OrX10bDA" TargetMode="External"/><Relationship Id="rId64" Type="http://schemas.openxmlformats.org/officeDocument/2006/relationships/hyperlink" Target="https://www.google.com/maps/place/?q=place_id:ChIJE1TPBICDXjkRObhPoZUw09s" TargetMode="External"/><Relationship Id="rId69" Type="http://schemas.openxmlformats.org/officeDocument/2006/relationships/hyperlink" Target="https://www.google.com/maps/place/?q=place_id:ChIJ3xYrwOyDXjkRl_FoSMIaBg0" TargetMode="External"/><Relationship Id="rId77" Type="http://schemas.openxmlformats.org/officeDocument/2006/relationships/hyperlink" Target="https://www.google.com/maps/place/?q=place_id:ChIJ1TfFbFiaXjkRMcV5Xd4qR_E" TargetMode="External"/><Relationship Id="rId8" Type="http://schemas.openxmlformats.org/officeDocument/2006/relationships/hyperlink" Target="https://www.orientclub.in/home.php" TargetMode="External"/><Relationship Id="rId51" Type="http://schemas.openxmlformats.org/officeDocument/2006/relationships/hyperlink" Target="https://www.google.com/maps/place/?q=place_id:ChIJu-zh386FXjkRSe3b7S2DC-c" TargetMode="External"/><Relationship Id="rId72" Type="http://schemas.openxmlformats.org/officeDocument/2006/relationships/hyperlink" Target="https://www.google.com/maps/place/?q=place_id:ChIJ76xM9OecXjkRqfs6k9Bu3F0" TargetMode="External"/><Relationship Id="rId80" Type="http://schemas.openxmlformats.org/officeDocument/2006/relationships/hyperlink" Target="https://www.google.com/maps/place/?q=place_id:ChIJo58-iRmFXjkRJzk003q5P7c" TargetMode="External"/><Relationship Id="rId3" Type="http://schemas.openxmlformats.org/officeDocument/2006/relationships/hyperlink" Target="http://www.pleasureclub.in/" TargetMode="External"/><Relationship Id="rId12" Type="http://schemas.openxmlformats.org/officeDocument/2006/relationships/hyperlink" Target="https://ahmedabadcity.gov.in/" TargetMode="External"/><Relationship Id="rId17" Type="http://schemas.openxmlformats.org/officeDocument/2006/relationships/hyperlink" Target="https://www.sportsclub-gujarat.com/" TargetMode="External"/><Relationship Id="rId25" Type="http://schemas.openxmlformats.org/officeDocument/2006/relationships/hyperlink" Target="https://ymcaic.com/amenity/swimming-club-in-ahmedabad" TargetMode="External"/><Relationship Id="rId33" Type="http://schemas.openxmlformats.org/officeDocument/2006/relationships/hyperlink" Target="https://ahmedabadcity.gov.in/" TargetMode="External"/><Relationship Id="rId38" Type="http://schemas.openxmlformats.org/officeDocument/2006/relationships/hyperlink" Target="https://www.google.com/maps/place/?q=place_id:ChIJj8kh9u6FXjkRYM-l-twxXiU" TargetMode="External"/><Relationship Id="rId46" Type="http://schemas.openxmlformats.org/officeDocument/2006/relationships/hyperlink" Target="https://www.google.com/maps/place/?q=place_id:ChIJc1J-g8qDXjkRXJc-WvufGw4" TargetMode="External"/><Relationship Id="rId59" Type="http://schemas.openxmlformats.org/officeDocument/2006/relationships/hyperlink" Target="https://www.google.com/maps/place/?q=place_id:ChIJVXQiY1yEXjkRa_XgwcfS_AI" TargetMode="External"/><Relationship Id="rId67" Type="http://schemas.openxmlformats.org/officeDocument/2006/relationships/hyperlink" Target="https://www.google.com/maps/place/?q=place_id:ChIJSXVGsiSbXjkRTjpTTSIENdM" TargetMode="External"/><Relationship Id="rId20" Type="http://schemas.openxmlformats.org/officeDocument/2006/relationships/hyperlink" Target="https://ahmedabadcity.gov.in/" TargetMode="External"/><Relationship Id="rId41" Type="http://schemas.openxmlformats.org/officeDocument/2006/relationships/hyperlink" Target="https://www.google.com/maps/place/?q=place_id:ChIJVVVVlZybXjkRM9GCm8DpjCI" TargetMode="External"/><Relationship Id="rId54" Type="http://schemas.openxmlformats.org/officeDocument/2006/relationships/hyperlink" Target="https://www.google.com/maps/place/?q=place_id:ChIJZ9ybcMSFXjkRyK6SLeu8f4Y" TargetMode="External"/><Relationship Id="rId62" Type="http://schemas.openxmlformats.org/officeDocument/2006/relationships/hyperlink" Target="https://www.google.com/maps/place/?q=place_id:ChIJCSh78TKbXjkRCSM9bJVY-9M" TargetMode="External"/><Relationship Id="rId70" Type="http://schemas.openxmlformats.org/officeDocument/2006/relationships/hyperlink" Target="https://www.google.com/maps/place/?q=place_id:ChIJJ5i0azOEXjkRS__AKyZh6EM" TargetMode="External"/><Relationship Id="rId75" Type="http://schemas.openxmlformats.org/officeDocument/2006/relationships/hyperlink" Target="https://www.google.com/maps/place/?q=place_id:ChIJVVVVlQyEXjkRQ2-HXgQpkhw" TargetMode="External"/><Relationship Id="rId83" Type="http://schemas.openxmlformats.org/officeDocument/2006/relationships/hyperlink" Target="https://www.google.com/maps/place/?q=place_id:ChIJO7TYaeLzQTkR-6HSPFPUSWk" TargetMode="External"/><Relationship Id="rId1" Type="http://schemas.openxmlformats.org/officeDocument/2006/relationships/hyperlink" Target="https://shreyasfoundation.in/sports/" TargetMode="External"/><Relationship Id="rId6" Type="http://schemas.openxmlformats.org/officeDocument/2006/relationships/hyperlink" Target="https://appletouchsports.in/" TargetMode="External"/><Relationship Id="rId15" Type="http://schemas.openxmlformats.org/officeDocument/2006/relationships/hyperlink" Target="https://ahmedabadcity.gov.in/" TargetMode="External"/><Relationship Id="rId23" Type="http://schemas.openxmlformats.org/officeDocument/2006/relationships/hyperlink" Target="https://ahmedabadcity.gov.in/" TargetMode="External"/><Relationship Id="rId28" Type="http://schemas.openxmlformats.org/officeDocument/2006/relationships/hyperlink" Target="https://ahmedabadcity.gov.in/" TargetMode="External"/><Relationship Id="rId36" Type="http://schemas.openxmlformats.org/officeDocument/2006/relationships/hyperlink" Target="http://www.ahmedabadcity.gov.in/" TargetMode="External"/><Relationship Id="rId49" Type="http://schemas.openxmlformats.org/officeDocument/2006/relationships/hyperlink" Target="https://www.google.com/maps/place/?q=place_id:ChIJG6aZFh6DXjkRYTc2ioMcUiM" TargetMode="External"/><Relationship Id="rId57" Type="http://schemas.openxmlformats.org/officeDocument/2006/relationships/hyperlink" Target="https://www.google.com/maps/place/?q=place_id:ChIJKR5q2yKFXjkR2QCTrPJjFyg" TargetMode="External"/><Relationship Id="rId10" Type="http://schemas.openxmlformats.org/officeDocument/2006/relationships/hyperlink" Target="https://ahmedabadcity.gov.in/" TargetMode="External"/><Relationship Id="rId31" Type="http://schemas.openxmlformats.org/officeDocument/2006/relationships/hyperlink" Target="https://clubbabylon.in/" TargetMode="External"/><Relationship Id="rId44" Type="http://schemas.openxmlformats.org/officeDocument/2006/relationships/hyperlink" Target="https://www.google.com/maps/place/?q=place_id:ChIJzROadgCDXjkRn8unFxdnKZI" TargetMode="External"/><Relationship Id="rId52" Type="http://schemas.openxmlformats.org/officeDocument/2006/relationships/hyperlink" Target="https://www.google.com/maps/place/?q=place_id:ChIJWbi-TnWGXjkRmd_OqMCJ2No" TargetMode="External"/><Relationship Id="rId60" Type="http://schemas.openxmlformats.org/officeDocument/2006/relationships/hyperlink" Target="https://www.google.com/maps/place/?q=place_id:ChIJhcqxxu-HXjkRaMlQrFnvlwc" TargetMode="External"/><Relationship Id="rId65" Type="http://schemas.openxmlformats.org/officeDocument/2006/relationships/hyperlink" Target="https://www.google.com/maps/place/?q=place_id:ChIJNZZqSwCbXjkRmPDuYp28h6U" TargetMode="External"/><Relationship Id="rId73" Type="http://schemas.openxmlformats.org/officeDocument/2006/relationships/hyperlink" Target="https://www.google.com/maps/place/?q=place_id:ChIJ-XyF91WEXjkR2rIFHMGydLs" TargetMode="External"/><Relationship Id="rId78" Type="http://schemas.openxmlformats.org/officeDocument/2006/relationships/hyperlink" Target="https://www.google.com/maps/place/?q=place_id:ChIJ449aEX6DXjkRgqXiVzCVETo" TargetMode="External"/><Relationship Id="rId81" Type="http://schemas.openxmlformats.org/officeDocument/2006/relationships/hyperlink" Target="https://www.google.com/maps/place/?q=place_id:ChIJxzNMlXeHXjkRAGx6UfWVD98" TargetMode="External"/><Relationship Id="rId4" Type="http://schemas.openxmlformats.org/officeDocument/2006/relationships/hyperlink" Target="http://ahmedabadcity.gov.in/" TargetMode="External"/><Relationship Id="rId9" Type="http://schemas.openxmlformats.org/officeDocument/2006/relationships/hyperlink" Target="https://swaraajsports.com/" TargetMode="External"/><Relationship Id="rId13" Type="http://schemas.openxmlformats.org/officeDocument/2006/relationships/hyperlink" Target="https://ahmedabadcity.gov.in/" TargetMode="External"/><Relationship Id="rId18" Type="http://schemas.openxmlformats.org/officeDocument/2006/relationships/hyperlink" Target="https://www.rifleclubahmedabad.com/swimming/" TargetMode="External"/><Relationship Id="rId39" Type="http://schemas.openxmlformats.org/officeDocument/2006/relationships/hyperlink" Target="https://www.google.com/maps/place/?q=place_id:ChIJR_J_nN-EXjkRBKzzviu7j74" TargetMode="External"/><Relationship Id="rId34" Type="http://schemas.openxmlformats.org/officeDocument/2006/relationships/hyperlink" Target="https://www.clubo7.com/" TargetMode="External"/><Relationship Id="rId50" Type="http://schemas.openxmlformats.org/officeDocument/2006/relationships/hyperlink" Target="https://www.google.com/maps/place/?q=place_id:ChIJuaR2eWqDXjkRORpU1JzZvGQ" TargetMode="External"/><Relationship Id="rId55" Type="http://schemas.openxmlformats.org/officeDocument/2006/relationships/hyperlink" Target="https://www.google.com/maps/place/?q=place_id:ChIJt9kie_iDXjkRuc89GaHfZO4" TargetMode="External"/><Relationship Id="rId76" Type="http://schemas.openxmlformats.org/officeDocument/2006/relationships/hyperlink" Target="https://www.google.com/maps/place/?q=place_id:ChIJuZcVpD6FXjkRWdrDZdoNInU" TargetMode="External"/><Relationship Id="rId7" Type="http://schemas.openxmlformats.org/officeDocument/2006/relationships/hyperlink" Target="http://www.ellisbridgegymkhana.com/" TargetMode="External"/><Relationship Id="rId71" Type="http://schemas.openxmlformats.org/officeDocument/2006/relationships/hyperlink" Target="https://www.google.com/maps/place/?q=place_id:ChIJjSFq4CeEXjkRY1_3ER_1JaY" TargetMode="External"/><Relationship Id="rId2" Type="http://schemas.openxmlformats.org/officeDocument/2006/relationships/hyperlink" Target="https://www.rajpathclub.com/" TargetMode="External"/><Relationship Id="rId29" Type="http://schemas.openxmlformats.org/officeDocument/2006/relationships/hyperlink" Target="https://ahmedabadcity.gov.in/" TargetMode="External"/><Relationship Id="rId24" Type="http://schemas.openxmlformats.org/officeDocument/2006/relationships/hyperlink" Target="https://ahmedabadcity.gov.in/" TargetMode="External"/><Relationship Id="rId40" Type="http://schemas.openxmlformats.org/officeDocument/2006/relationships/hyperlink" Target="https://www.google.com/maps/place/?q=place_id:ChIJw7h1hUibXjkRrKnYvZBfXB0" TargetMode="External"/><Relationship Id="rId45" Type="http://schemas.openxmlformats.org/officeDocument/2006/relationships/hyperlink" Target="https://www.google.com/maps/place/?q=place_id:ChIJwW_1mFCDXjkRwb8D0B86Ra0" TargetMode="External"/><Relationship Id="rId66" Type="http://schemas.openxmlformats.org/officeDocument/2006/relationships/hyperlink" Target="https://www.google.com/maps/place/?q=place_id:ChIJk5uBjN6aXjkR3XFSwrafzrQ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acetennisacademy.in/" TargetMode="External"/><Relationship Id="rId117" Type="http://schemas.openxmlformats.org/officeDocument/2006/relationships/hyperlink" Target="https://www.google.com/maps/place/?q=place_id:ChIJbQSDDkqFXjkR0WgTei-3JYw" TargetMode="External"/><Relationship Id="rId21" Type="http://schemas.openxmlformats.org/officeDocument/2006/relationships/hyperlink" Target="https://cnvidyavihar.edu.in/institutions/special-institutes/sports-academy/" TargetMode="External"/><Relationship Id="rId42" Type="http://schemas.openxmlformats.org/officeDocument/2006/relationships/hyperlink" Target="http://www.neonsportsacademy.com/" TargetMode="External"/><Relationship Id="rId47" Type="http://schemas.openxmlformats.org/officeDocument/2006/relationships/hyperlink" Target="https://alturasports.in/" TargetMode="External"/><Relationship Id="rId63" Type="http://schemas.openxmlformats.org/officeDocument/2006/relationships/hyperlink" Target="https://www.instagram.com/aadhyaasportsacademy" TargetMode="External"/><Relationship Id="rId68" Type="http://schemas.openxmlformats.org/officeDocument/2006/relationships/hyperlink" Target="https://www.instagram.com/elitesportsacademy_motera/" TargetMode="External"/><Relationship Id="rId84" Type="http://schemas.openxmlformats.org/officeDocument/2006/relationships/hyperlink" Target="https://www.google.com/maps/place/?q=place_id:ChIJzUF9Wa-EXjkR7jR90kVw-Jo" TargetMode="External"/><Relationship Id="rId89" Type="http://schemas.openxmlformats.org/officeDocument/2006/relationships/hyperlink" Target="https://www.google.com/maps/place/?q=place_id:ChIJO4QTASWFXjkRHz_nymkduDI" TargetMode="External"/><Relationship Id="rId112" Type="http://schemas.openxmlformats.org/officeDocument/2006/relationships/hyperlink" Target="https://www.google.com/maps/place/?q=place_id:ChIJV51YfuSDXjkRBUwMmPXYsrI" TargetMode="External"/><Relationship Id="rId16" Type="http://schemas.openxmlformats.org/officeDocument/2006/relationships/hyperlink" Target="https://smashsports.in/" TargetMode="External"/><Relationship Id="rId107" Type="http://schemas.openxmlformats.org/officeDocument/2006/relationships/hyperlink" Target="https://www.google.com/maps/place/?q=place_id:ChIJxTfCX7WDXjkRrJupSupG0PU" TargetMode="External"/><Relationship Id="rId11" Type="http://schemas.openxmlformats.org/officeDocument/2006/relationships/hyperlink" Target="https://www.shaishya.com/" TargetMode="External"/><Relationship Id="rId32" Type="http://schemas.openxmlformats.org/officeDocument/2006/relationships/hyperlink" Target="https://www.rajpathclub.com/" TargetMode="External"/><Relationship Id="rId37" Type="http://schemas.openxmlformats.org/officeDocument/2006/relationships/hyperlink" Target="https://mj-tennis-academy.vercel.app/" TargetMode="External"/><Relationship Id="rId53" Type="http://schemas.openxmlformats.org/officeDocument/2006/relationships/hyperlink" Target="https://srt10-altevol.com/" TargetMode="External"/><Relationship Id="rId58" Type="http://schemas.openxmlformats.org/officeDocument/2006/relationships/hyperlink" Target="https://gsta.co.in/" TargetMode="External"/><Relationship Id="rId74" Type="http://schemas.openxmlformats.org/officeDocument/2006/relationships/hyperlink" Target="https://www.adanisportsline.com/en/riverfront-sports-complex" TargetMode="External"/><Relationship Id="rId79" Type="http://schemas.openxmlformats.org/officeDocument/2006/relationships/hyperlink" Target="https://www.google.com/maps/place/?q=place_id:ChIJj6GcD96aXjkR9FEaWMw97dE" TargetMode="External"/><Relationship Id="rId102" Type="http://schemas.openxmlformats.org/officeDocument/2006/relationships/hyperlink" Target="https://www.google.com/maps/place/?q=place_id:ChIJsyhkVueDXjkR8slNrMWcQ9M" TargetMode="External"/><Relationship Id="rId5" Type="http://schemas.openxmlformats.org/officeDocument/2006/relationships/hyperlink" Target="https://www.gujaratuniversity.ac.in/" TargetMode="External"/><Relationship Id="rId90" Type="http://schemas.openxmlformats.org/officeDocument/2006/relationships/hyperlink" Target="https://www.google.com/maps/place/?q=place_id:ChIJR_pk4TabXjkRAXxlIg7-p78" TargetMode="External"/><Relationship Id="rId95" Type="http://schemas.openxmlformats.org/officeDocument/2006/relationships/hyperlink" Target="https://www.google.com/maps/place/?q=place_id:ChIJpZ8bPPSbXjkR-F0kfBf0hi4" TargetMode="External"/><Relationship Id="rId22" Type="http://schemas.openxmlformats.org/officeDocument/2006/relationships/hyperlink" Target="https://www.instagram.com/cnvidyavihar/" TargetMode="External"/><Relationship Id="rId27" Type="http://schemas.openxmlformats.org/officeDocument/2006/relationships/hyperlink" Target="http://www.acetennisacademy.in/" TargetMode="External"/><Relationship Id="rId43" Type="http://schemas.openxmlformats.org/officeDocument/2006/relationships/hyperlink" Target="http://www.advaitsports.com/" TargetMode="External"/><Relationship Id="rId48" Type="http://schemas.openxmlformats.org/officeDocument/2006/relationships/hyperlink" Target="https://www.instagram.com/alturasportsacademy/" TargetMode="External"/><Relationship Id="rId64" Type="http://schemas.openxmlformats.org/officeDocument/2006/relationships/hyperlink" Target="https://maps.google.com/?cid=ChIJRdgugYeDXjkRfJmMVhaxs2Y" TargetMode="External"/><Relationship Id="rId69" Type="http://schemas.openxmlformats.org/officeDocument/2006/relationships/hyperlink" Target="https://www.thesportsgurukul.com/" TargetMode="External"/><Relationship Id="rId113" Type="http://schemas.openxmlformats.org/officeDocument/2006/relationships/hyperlink" Target="https://www.google.com/maps/place/?q=place_id:ChIJe6k3xNSDXjkRH88zCjUNIB4" TargetMode="External"/><Relationship Id="rId118" Type="http://schemas.openxmlformats.org/officeDocument/2006/relationships/hyperlink" Target="https://www.google.com/maps/place/?q=place_id:ChIJVVLDFzCHXjkRRBael7RhUag" TargetMode="External"/><Relationship Id="rId80" Type="http://schemas.openxmlformats.org/officeDocument/2006/relationships/hyperlink" Target="https://www.google.com/maps/place/?q=place_id:ChIJtVWsRwCdXjkRFmwy4j4isR4" TargetMode="External"/><Relationship Id="rId85" Type="http://schemas.openxmlformats.org/officeDocument/2006/relationships/hyperlink" Target="https://www.google.com/maps/place/?q=place_id:ChIJ726EYOOEXjkRseJcpVKQtps" TargetMode="External"/><Relationship Id="rId12" Type="http://schemas.openxmlformats.org/officeDocument/2006/relationships/hyperlink" Target="https://altitudetennisacademy.in/" TargetMode="External"/><Relationship Id="rId17" Type="http://schemas.openxmlformats.org/officeDocument/2006/relationships/hyperlink" Target="http://www.neonsportsacademy.com/" TargetMode="External"/><Relationship Id="rId33" Type="http://schemas.openxmlformats.org/officeDocument/2006/relationships/hyperlink" Target="https://www.rajpathclub.com/" TargetMode="External"/><Relationship Id="rId38" Type="http://schemas.openxmlformats.org/officeDocument/2006/relationships/hyperlink" Target="https://sportomic.com/kabir-sports-academy" TargetMode="External"/><Relationship Id="rId59" Type="http://schemas.openxmlformats.org/officeDocument/2006/relationships/hyperlink" Target="https://gsta.co.in/" TargetMode="External"/><Relationship Id="rId103" Type="http://schemas.openxmlformats.org/officeDocument/2006/relationships/hyperlink" Target="https://www.google.com/maps/place/?q=place_id:ChIJG6aZFh6DXjkRYTc2ioMcUiM" TargetMode="External"/><Relationship Id="rId108" Type="http://schemas.openxmlformats.org/officeDocument/2006/relationships/hyperlink" Target="https://www.google.com/maps/place/?q=place_id:ChIJGyv28-SDXjkRaUP84eJ4Qts" TargetMode="External"/><Relationship Id="rId54" Type="http://schemas.openxmlformats.org/officeDocument/2006/relationships/hyperlink" Target="https://swaraajsports.com/" TargetMode="External"/><Relationship Id="rId70" Type="http://schemas.openxmlformats.org/officeDocument/2006/relationships/hyperlink" Target="https://maps.google.com/?cid=ChIJe6k3xNSDXjkRH88zCjUNIB4" TargetMode="External"/><Relationship Id="rId75" Type="http://schemas.openxmlformats.org/officeDocument/2006/relationships/hyperlink" Target="https://www.google.com/maps/place/?q=place_id:ChIJVdYd_IuEXjkRptCo3NqA9Sc" TargetMode="External"/><Relationship Id="rId91" Type="http://schemas.openxmlformats.org/officeDocument/2006/relationships/hyperlink" Target="https://www.google.com/maps/place/?q=place_id:ChIJSXVGsiSbXjkRTjpTTSIENdM" TargetMode="External"/><Relationship Id="rId96" Type="http://schemas.openxmlformats.org/officeDocument/2006/relationships/hyperlink" Target="https://www.google.com/maps/place/?q=place_id:ChIJEfObjQubXjkRpzd0Z60S8gI" TargetMode="External"/><Relationship Id="rId1" Type="http://schemas.openxmlformats.org/officeDocument/2006/relationships/hyperlink" Target="http://www.actf.co.in/" TargetMode="External"/><Relationship Id="rId6" Type="http://schemas.openxmlformats.org/officeDocument/2006/relationships/hyperlink" Target="https://sragtennis.com/" TargetMode="External"/><Relationship Id="rId23" Type="http://schemas.openxmlformats.org/officeDocument/2006/relationships/hyperlink" Target="https://cnvidyavihar.edu.in/institutions/special-institutes/sports-academy/" TargetMode="External"/><Relationship Id="rId28" Type="http://schemas.openxmlformats.org/officeDocument/2006/relationships/hyperlink" Target="https://maps.google.com/?cid=3634027731777249311" TargetMode="External"/><Relationship Id="rId49" Type="http://schemas.openxmlformats.org/officeDocument/2006/relationships/hyperlink" Target="https://alturasports.in/" TargetMode="External"/><Relationship Id="rId114" Type="http://schemas.openxmlformats.org/officeDocument/2006/relationships/hyperlink" Target="https://www.google.com/maps/place/?q=place_id:ChIJZ7EI7KSHXjkRkZUICPjyiMA" TargetMode="External"/><Relationship Id="rId119" Type="http://schemas.openxmlformats.org/officeDocument/2006/relationships/hyperlink" Target="https://www.google.com/maps/place/?q=place_id:ChIJp-4Ef5KFXjkRtF2knApv91g" TargetMode="External"/><Relationship Id="rId44" Type="http://schemas.openxmlformats.org/officeDocument/2006/relationships/hyperlink" Target="http://www.advaitsports.com/" TargetMode="External"/><Relationship Id="rId60" Type="http://schemas.openxmlformats.org/officeDocument/2006/relationships/hyperlink" Target="https://kavyasportsacademy.com/" TargetMode="External"/><Relationship Id="rId65" Type="http://schemas.openxmlformats.org/officeDocument/2006/relationships/hyperlink" Target="https://www.evolutiontennisacademy.com/" TargetMode="External"/><Relationship Id="rId81" Type="http://schemas.openxmlformats.org/officeDocument/2006/relationships/hyperlink" Target="https://www.google.com/maps/place/?q=place_id:ChIJERdDukGbXjkRvFWgDvOjLgw" TargetMode="External"/><Relationship Id="rId86" Type="http://schemas.openxmlformats.org/officeDocument/2006/relationships/hyperlink" Target="https://www.google.com/maps/place/?q=place_id:ChIJQ3pmXfmEXjkR-Bb7XwPS3cc" TargetMode="External"/><Relationship Id="rId4" Type="http://schemas.openxmlformats.org/officeDocument/2006/relationships/hyperlink" Target="https://www.gujaratuniversity.ac.in/" TargetMode="External"/><Relationship Id="rId9" Type="http://schemas.openxmlformats.org/officeDocument/2006/relationships/hyperlink" Target="http://www.racquetacademy.in/" TargetMode="External"/><Relationship Id="rId13" Type="http://schemas.openxmlformats.org/officeDocument/2006/relationships/hyperlink" Target="https://altitudetennisacademy.in/" TargetMode="External"/><Relationship Id="rId18" Type="http://schemas.openxmlformats.org/officeDocument/2006/relationships/hyperlink" Target="https://www.facebook.com/neonsportsacademy1/" TargetMode="External"/><Relationship Id="rId39" Type="http://schemas.openxmlformats.org/officeDocument/2006/relationships/hyperlink" Target="https://sportomic.com/kabir-sports-academy" TargetMode="External"/><Relationship Id="rId109" Type="http://schemas.openxmlformats.org/officeDocument/2006/relationships/hyperlink" Target="https://www.google.com/maps/place/?q=place_id:ChIJEdOtK4ODXjkRU7tkU1n128M" TargetMode="External"/><Relationship Id="rId34" Type="http://schemas.openxmlformats.org/officeDocument/2006/relationships/hyperlink" Target="https://maps.google.com/?cid=4340321286950292236" TargetMode="External"/><Relationship Id="rId50" Type="http://schemas.openxmlformats.org/officeDocument/2006/relationships/hyperlink" Target="https://maps.google.com/?cid=ChIJ9Q0VrNadXjkRmXDeo4CXCXo" TargetMode="External"/><Relationship Id="rId55" Type="http://schemas.openxmlformats.org/officeDocument/2006/relationships/hyperlink" Target="https://swaraajsports.com/" TargetMode="External"/><Relationship Id="rId76" Type="http://schemas.openxmlformats.org/officeDocument/2006/relationships/hyperlink" Target="https://www.google.com/maps/place/?q=place_id:ChIJ5aYvrteFXjkRiLSeEL1vIn0" TargetMode="External"/><Relationship Id="rId97" Type="http://schemas.openxmlformats.org/officeDocument/2006/relationships/hyperlink" Target="https://www.google.com/maps/place/?q=place_id:ChIJGYNEkYebXjkRZhJ6Y4V-hLo" TargetMode="External"/><Relationship Id="rId104" Type="http://schemas.openxmlformats.org/officeDocument/2006/relationships/hyperlink" Target="https://www.google.com/maps/place/?q=place_id:ChIJ0doDOOSDXjkRnXV7p2FwTqE" TargetMode="External"/><Relationship Id="rId120" Type="http://schemas.openxmlformats.org/officeDocument/2006/relationships/hyperlink" Target="https://www.google.com/maps/place/?q=place_id:ChIJtQ6cKgCbXjkR9oIgtAIjyUo" TargetMode="External"/><Relationship Id="rId7" Type="http://schemas.openxmlformats.org/officeDocument/2006/relationships/hyperlink" Target="https://sragtennis.com/" TargetMode="External"/><Relationship Id="rId71" Type="http://schemas.openxmlformats.org/officeDocument/2006/relationships/hyperlink" Target="https://gsta.co.in/" TargetMode="External"/><Relationship Id="rId92" Type="http://schemas.openxmlformats.org/officeDocument/2006/relationships/hyperlink" Target="https://www.google.com/maps/place/?q=place_id:ChIJw7h1hUibXjkRrKnYvZBfXB0" TargetMode="External"/><Relationship Id="rId2" Type="http://schemas.openxmlformats.org/officeDocument/2006/relationships/hyperlink" Target="https://www.instagram.com/actfahmedabad/" TargetMode="External"/><Relationship Id="rId29" Type="http://schemas.openxmlformats.org/officeDocument/2006/relationships/hyperlink" Target="https://maps.google.com/?cid=14249969192466906113" TargetMode="External"/><Relationship Id="rId24" Type="http://schemas.openxmlformats.org/officeDocument/2006/relationships/hyperlink" Target="https://maps.google.com/?cid=6094593815340622380" TargetMode="External"/><Relationship Id="rId40" Type="http://schemas.openxmlformats.org/officeDocument/2006/relationships/hyperlink" Target="http://www.neonsportsacademy.com/" TargetMode="External"/><Relationship Id="rId45" Type="http://schemas.openxmlformats.org/officeDocument/2006/relationships/hyperlink" Target="http://www.ahmedabadsportsacademy.com/" TargetMode="External"/><Relationship Id="rId66" Type="http://schemas.openxmlformats.org/officeDocument/2006/relationships/hyperlink" Target="https://www.instagram.com/evolutiontennisacademy/" TargetMode="External"/><Relationship Id="rId87" Type="http://schemas.openxmlformats.org/officeDocument/2006/relationships/hyperlink" Target="https://www.google.com/maps/place/?q=place_id:ChIJKdpOZ8KdXjkRLD8t1yvKH50" TargetMode="External"/><Relationship Id="rId110" Type="http://schemas.openxmlformats.org/officeDocument/2006/relationships/hyperlink" Target="https://www.google.com/maps/place/?q=place_id:ChIJRdgugYeDXjkRfJmMVhaxs2Y" TargetMode="External"/><Relationship Id="rId115" Type="http://schemas.openxmlformats.org/officeDocument/2006/relationships/hyperlink" Target="https://www.google.com/maps/place/?q=place_id:ChIJNeblVd-GXjkRvPyG1yJhpFM" TargetMode="External"/><Relationship Id="rId61" Type="http://schemas.openxmlformats.org/officeDocument/2006/relationships/hyperlink" Target="https://kavyasportsacademy.com/" TargetMode="External"/><Relationship Id="rId82" Type="http://schemas.openxmlformats.org/officeDocument/2006/relationships/hyperlink" Target="https://www.google.com/maps/place/?q=place_id:ChIJaxkGoDIK6GkR7SfMslXVymA" TargetMode="External"/><Relationship Id="rId19" Type="http://schemas.openxmlformats.org/officeDocument/2006/relationships/hyperlink" Target="http://www.neonsportsacademy.com/" TargetMode="External"/><Relationship Id="rId14" Type="http://schemas.openxmlformats.org/officeDocument/2006/relationships/hyperlink" Target="https://maps.google.com/?cid=14713735749454173372" TargetMode="External"/><Relationship Id="rId30" Type="http://schemas.openxmlformats.org/officeDocument/2006/relationships/hyperlink" Target="https://karnavaticlub.com/" TargetMode="External"/><Relationship Id="rId35" Type="http://schemas.openxmlformats.org/officeDocument/2006/relationships/hyperlink" Target="https://mj-tennis-academy.vercel.app/" TargetMode="External"/><Relationship Id="rId56" Type="http://schemas.openxmlformats.org/officeDocument/2006/relationships/hyperlink" Target="https://ahmedabadcity.gov.in/" TargetMode="External"/><Relationship Id="rId77" Type="http://schemas.openxmlformats.org/officeDocument/2006/relationships/hyperlink" Target="https://www.google.com/maps/place/?q=place_id:ChIJ4_ItLaWEXjkRn7lZfdpaT10" TargetMode="External"/><Relationship Id="rId100" Type="http://schemas.openxmlformats.org/officeDocument/2006/relationships/hyperlink" Target="https://www.google.com/maps/place/?q=place_id:ChIJySLtQgCDXjkRVTj9_ED49pU" TargetMode="External"/><Relationship Id="rId105" Type="http://schemas.openxmlformats.org/officeDocument/2006/relationships/hyperlink" Target="https://www.google.com/maps/place/?q=place_id:ChIJR5EAxUODXjkRtpU-_qQW9pM" TargetMode="External"/><Relationship Id="rId8" Type="http://schemas.openxmlformats.org/officeDocument/2006/relationships/hyperlink" Target="http://www.racquetacademy.in/" TargetMode="External"/><Relationship Id="rId51" Type="http://schemas.openxmlformats.org/officeDocument/2006/relationships/hyperlink" Target="https://srt10-altevol.com/" TargetMode="External"/><Relationship Id="rId72" Type="http://schemas.openxmlformats.org/officeDocument/2006/relationships/hyperlink" Target="https://www.adanisportsline.com/en/riverfront-sports-complex" TargetMode="External"/><Relationship Id="rId93" Type="http://schemas.openxmlformats.org/officeDocument/2006/relationships/hyperlink" Target="https://www.google.com/maps/place/?q=place_id:ChIJm49AiKKcXjkRDKtUOxk2Ijs" TargetMode="External"/><Relationship Id="rId98" Type="http://schemas.openxmlformats.org/officeDocument/2006/relationships/hyperlink" Target="https://www.google.com/maps/place/?q=place_id:ChIJnysV1U6bXjkR2TCqXW9un6M" TargetMode="External"/><Relationship Id="rId121" Type="http://schemas.openxmlformats.org/officeDocument/2006/relationships/table" Target="../tables/table5.xml"/><Relationship Id="rId3" Type="http://schemas.openxmlformats.org/officeDocument/2006/relationships/hyperlink" Target="http://www.actf.co.in/" TargetMode="External"/><Relationship Id="rId25" Type="http://schemas.openxmlformats.org/officeDocument/2006/relationships/hyperlink" Target="https://maps.google.com/" TargetMode="External"/><Relationship Id="rId46" Type="http://schemas.openxmlformats.org/officeDocument/2006/relationships/hyperlink" Target="http://www.ahmedabadsportsacademy.com/" TargetMode="External"/><Relationship Id="rId67" Type="http://schemas.openxmlformats.org/officeDocument/2006/relationships/hyperlink" Target="https://www.thesportsgurukul.com/" TargetMode="External"/><Relationship Id="rId116" Type="http://schemas.openxmlformats.org/officeDocument/2006/relationships/hyperlink" Target="https://www.google.com/maps/place/?q=place_id:ChIJY4lkvruGXjkRL39OrX10bDA" TargetMode="External"/><Relationship Id="rId20" Type="http://schemas.openxmlformats.org/officeDocument/2006/relationships/hyperlink" Target="https://maps.google.com/?cid=11833596791993217262" TargetMode="External"/><Relationship Id="rId41" Type="http://schemas.openxmlformats.org/officeDocument/2006/relationships/hyperlink" Target="https://www.facebook.com/neonsportsacademy1/" TargetMode="External"/><Relationship Id="rId62" Type="http://schemas.openxmlformats.org/officeDocument/2006/relationships/hyperlink" Target="https://www.instagram.com/aadhyaasportsacademy" TargetMode="External"/><Relationship Id="rId83" Type="http://schemas.openxmlformats.org/officeDocument/2006/relationships/hyperlink" Target="https://www.google.com/maps/place/?q=place_id:ChIJUW4R-66cXjkRn0ILQGwBAzk" TargetMode="External"/><Relationship Id="rId88" Type="http://schemas.openxmlformats.org/officeDocument/2006/relationships/hyperlink" Target="https://www.google.com/maps/place/?q=place_id:ChIJVVVVBfWEXjkReZilXhrweHs" TargetMode="External"/><Relationship Id="rId111" Type="http://schemas.openxmlformats.org/officeDocument/2006/relationships/hyperlink" Target="https://www.google.com/maps/place/?q=place_id:ChIJ1fJjqUaDXjkRR3nZAVAcLNM" TargetMode="External"/><Relationship Id="rId15" Type="http://schemas.openxmlformats.org/officeDocument/2006/relationships/hyperlink" Target="https://smashsports.in/" TargetMode="External"/><Relationship Id="rId36" Type="http://schemas.openxmlformats.org/officeDocument/2006/relationships/hyperlink" Target="https://www.facebook.com/MeetJoshiTennis/" TargetMode="External"/><Relationship Id="rId57" Type="http://schemas.openxmlformats.org/officeDocument/2006/relationships/hyperlink" Target="https://ahmedabadcity.gov.in/" TargetMode="External"/><Relationship Id="rId106" Type="http://schemas.openxmlformats.org/officeDocument/2006/relationships/hyperlink" Target="https://www.google.com/maps/place/?q=place_id:ChIJrzB02ZqDXjkRS_-ICBfLbCs" TargetMode="External"/><Relationship Id="rId10" Type="http://schemas.openxmlformats.org/officeDocument/2006/relationships/hyperlink" Target="https://www.shaishya.com/" TargetMode="External"/><Relationship Id="rId31" Type="http://schemas.openxmlformats.org/officeDocument/2006/relationships/hyperlink" Target="https://karnavaticlub.com/" TargetMode="External"/><Relationship Id="rId52" Type="http://schemas.openxmlformats.org/officeDocument/2006/relationships/hyperlink" Target="https://www.facebook.com/AltevolSportsAcademy/" TargetMode="External"/><Relationship Id="rId73" Type="http://schemas.openxmlformats.org/officeDocument/2006/relationships/hyperlink" Target="https://www.instagram.com/adanisportsline/" TargetMode="External"/><Relationship Id="rId78" Type="http://schemas.openxmlformats.org/officeDocument/2006/relationships/hyperlink" Target="https://www.google.com/maps/place/?q=place_id:ChIJo7aWnGibXjkR3WL_mPeteDs" TargetMode="External"/><Relationship Id="rId94" Type="http://schemas.openxmlformats.org/officeDocument/2006/relationships/hyperlink" Target="https://www.google.com/maps/place/?q=place_id:ChIJA1l-C4GbXjkROonLI8yw2Dc" TargetMode="External"/><Relationship Id="rId99" Type="http://schemas.openxmlformats.org/officeDocument/2006/relationships/hyperlink" Target="https://www.google.com/maps/place/?q=place_id:ChIJXU05BF-bXjkRhMXnW8C-7QQ" TargetMode="External"/><Relationship Id="rId101" Type="http://schemas.openxmlformats.org/officeDocument/2006/relationships/hyperlink" Target="https://www.google.com/maps/place/?q=place_id:ChIJ9Q0VrNadXjkRmXDeo4CXCXo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inhouse-amcmodules.ahmedabadcity.gov.in:11150/" TargetMode="External"/><Relationship Id="rId21" Type="http://schemas.openxmlformats.org/officeDocument/2006/relationships/hyperlink" Target="https://swaraajsports.com/" TargetMode="External"/><Relationship Id="rId42" Type="http://schemas.openxmlformats.org/officeDocument/2006/relationships/hyperlink" Target="http://www.gujaratuniversity.org.in/web/WebSportsComplex.asp" TargetMode="External"/><Relationship Id="rId47" Type="http://schemas.openxmlformats.org/officeDocument/2006/relationships/hyperlink" Target="https://www.instagram.com/adanisportsline/" TargetMode="External"/><Relationship Id="rId63" Type="http://schemas.openxmlformats.org/officeDocument/2006/relationships/hyperlink" Target="https://www.google.com/maps/place/?q=place_id:ChIJMV4KzCiDXjkR1Kiq5-p6g7o" TargetMode="External"/><Relationship Id="rId68" Type="http://schemas.openxmlformats.org/officeDocument/2006/relationships/hyperlink" Target="https://www.google.com/maps/place/?q=place_id:ChIJG6aZFh6DXjkRYTc2ioMcUiM" TargetMode="External"/><Relationship Id="rId84" Type="http://schemas.openxmlformats.org/officeDocument/2006/relationships/hyperlink" Target="https://www.google.com/maps/place/?q=place_id:ChIJ_b_OtJWEXjkRLIN-4_u-wvQ" TargetMode="External"/><Relationship Id="rId89" Type="http://schemas.openxmlformats.org/officeDocument/2006/relationships/table" Target="../tables/table6.xml"/><Relationship Id="rId16" Type="http://schemas.openxmlformats.org/officeDocument/2006/relationships/hyperlink" Target="https://maps.google.com/?cid=9680572886756625758" TargetMode="External"/><Relationship Id="rId11" Type="http://schemas.openxmlformats.org/officeDocument/2006/relationships/hyperlink" Target="http://www.ahmedabadsportsacademy.com/" TargetMode="External"/><Relationship Id="rId32" Type="http://schemas.openxmlformats.org/officeDocument/2006/relationships/hyperlink" Target="https://www.instagram.com/sportsauthorityofgujarat/" TargetMode="External"/><Relationship Id="rId37" Type="http://schemas.openxmlformats.org/officeDocument/2006/relationships/hyperlink" Target="https://inhouse-amcmodules.ahmedabadcity.gov.in:11150/" TargetMode="External"/><Relationship Id="rId53" Type="http://schemas.openxmlformats.org/officeDocument/2006/relationships/hyperlink" Target="https://worldsports.co.in/" TargetMode="External"/><Relationship Id="rId58" Type="http://schemas.openxmlformats.org/officeDocument/2006/relationships/hyperlink" Target="https://www.google.com/maps/place/?q=place_id:ChIJryJHebSEXjkRdFuq3OtY4dU" TargetMode="External"/><Relationship Id="rId74" Type="http://schemas.openxmlformats.org/officeDocument/2006/relationships/hyperlink" Target="https://www.google.com/maps/place/?q=place_id:ChIJCw2uynSGXjkRVFjDa-8UHk0" TargetMode="External"/><Relationship Id="rId79" Type="http://schemas.openxmlformats.org/officeDocument/2006/relationships/hyperlink" Target="https://www.google.com/maps/place/?q=place_id:ChIJxbNwAgCHXjkRmTIk3gA9vbU" TargetMode="External"/><Relationship Id="rId5" Type="http://schemas.openxmlformats.org/officeDocument/2006/relationships/hyperlink" Target="https://cnvidyavihar.edu.in/institutions/special-institutes/sports-academy/" TargetMode="External"/><Relationship Id="rId14" Type="http://schemas.openxmlformats.org/officeDocument/2006/relationships/hyperlink" Target="https://playo.co/venues/thaltej-ahmedabad/eklavya-sports-academy-thaltej-ahmedabad" TargetMode="External"/><Relationship Id="rId22" Type="http://schemas.openxmlformats.org/officeDocument/2006/relationships/hyperlink" Target="https://maps.google.com/?cid=15669389957388060846" TargetMode="External"/><Relationship Id="rId27" Type="http://schemas.openxmlformats.org/officeDocument/2006/relationships/hyperlink" Target="https://inhouse-amcmodules.ahmedabadcity.gov.in:11150/" TargetMode="External"/><Relationship Id="rId30" Type="http://schemas.openxmlformats.org/officeDocument/2006/relationships/hyperlink" Target="https://sports.gujarat.gov.in/" TargetMode="External"/><Relationship Id="rId35" Type="http://schemas.openxmlformats.org/officeDocument/2006/relationships/hyperlink" Target="https://www.instagram.com/ekaclubahmedabad/" TargetMode="External"/><Relationship Id="rId43" Type="http://schemas.openxmlformats.org/officeDocument/2006/relationships/hyperlink" Target="https://www.justdial.com/Ahmedabad/Yp-Volleyball-Club-Opposite-Yash-Platina-Nava-Naroda/079PXX79-XX79-260612223339-T1X3_BZDET" TargetMode="External"/><Relationship Id="rId48" Type="http://schemas.openxmlformats.org/officeDocument/2006/relationships/hyperlink" Target="https://bookings.adanisportsline.com/" TargetMode="External"/><Relationship Id="rId56" Type="http://schemas.openxmlformats.org/officeDocument/2006/relationships/hyperlink" Target="https://volleyballindia.com/PlayersPDF/StateVolleyballUnitPdf" TargetMode="External"/><Relationship Id="rId64" Type="http://schemas.openxmlformats.org/officeDocument/2006/relationships/hyperlink" Target="https://www.google.com/maps/place/?q=place_id:ChIJm49AiKKcXjkRDKtUOxk2Ijs" TargetMode="External"/><Relationship Id="rId69" Type="http://schemas.openxmlformats.org/officeDocument/2006/relationships/hyperlink" Target="https://www.google.com/maps/place/?q=place_id:ChIJ_-QtN1ODXjkRrkfiAqfqydk" TargetMode="External"/><Relationship Id="rId77" Type="http://schemas.openxmlformats.org/officeDocument/2006/relationships/hyperlink" Target="https://www.google.com/maps/place/?q=place_id:ChIJY0Dd5UuFXjkR-BKRZUftJtY" TargetMode="External"/><Relationship Id="rId8" Type="http://schemas.openxmlformats.org/officeDocument/2006/relationships/hyperlink" Target="http://www.ahmedabadsportsacademy.com/" TargetMode="External"/><Relationship Id="rId51" Type="http://schemas.openxmlformats.org/officeDocument/2006/relationships/hyperlink" Target="https://volleyballindia.com/" TargetMode="External"/><Relationship Id="rId72" Type="http://schemas.openxmlformats.org/officeDocument/2006/relationships/hyperlink" Target="https://www.google.com/maps/place/?q=place_id:ChIJ5_ZLOE-HXjkRefT8VwokSwY" TargetMode="External"/><Relationship Id="rId80" Type="http://schemas.openxmlformats.org/officeDocument/2006/relationships/hyperlink" Target="https://www.google.com/maps/place/?q=place_id:ChIJyRjeUQCHXjkRPQJiFwCdYP8" TargetMode="External"/><Relationship Id="rId85" Type="http://schemas.openxmlformats.org/officeDocument/2006/relationships/hyperlink" Target="https://www.google.com/maps/place/?q=place_id:ChIJof_QmYmEXjkRXTs_oPW93E4" TargetMode="External"/><Relationship Id="rId3" Type="http://schemas.openxmlformats.org/officeDocument/2006/relationships/hyperlink" Target="http://www.dsacademyforsports.com/" TargetMode="External"/><Relationship Id="rId12" Type="http://schemas.openxmlformats.org/officeDocument/2006/relationships/hyperlink" Target="http://www.ahmedabadsportsacademy.com/" TargetMode="External"/><Relationship Id="rId17" Type="http://schemas.openxmlformats.org/officeDocument/2006/relationships/hyperlink" Target="https://maps.google.com/?cid=6238692631520627939" TargetMode="External"/><Relationship Id="rId25" Type="http://schemas.openxmlformats.org/officeDocument/2006/relationships/hyperlink" Target="http://huddle.co.in/" TargetMode="External"/><Relationship Id="rId33" Type="http://schemas.openxmlformats.org/officeDocument/2006/relationships/hyperlink" Target="https://sports.gujarat.gov.in/" TargetMode="External"/><Relationship Id="rId38" Type="http://schemas.openxmlformats.org/officeDocument/2006/relationships/hyperlink" Target="https://inhouse-amcmodules.ahmedabadcity.gov.in:11150/" TargetMode="External"/><Relationship Id="rId46" Type="http://schemas.openxmlformats.org/officeDocument/2006/relationships/hyperlink" Target="https://bookings.adanisportsline.com/" TargetMode="External"/><Relationship Id="rId59" Type="http://schemas.openxmlformats.org/officeDocument/2006/relationships/hyperlink" Target="https://www.google.com/maps/place/?q=place_id:ChIJ726EYOOEXjkRseJcpVKQtps" TargetMode="External"/><Relationship Id="rId67" Type="http://schemas.openxmlformats.org/officeDocument/2006/relationships/hyperlink" Target="https://www.google.com/maps/place/?q=place_id:ChIJEdOtK4ODXjkRU7tkU1n128M" TargetMode="External"/><Relationship Id="rId20" Type="http://schemas.openxmlformats.org/officeDocument/2006/relationships/hyperlink" Target="https://swaraajsports.com/" TargetMode="External"/><Relationship Id="rId41" Type="http://schemas.openxmlformats.org/officeDocument/2006/relationships/hyperlink" Target="http://www.gujaratuniversity.org.in/web/WebSportsComplex.asp" TargetMode="External"/><Relationship Id="rId54" Type="http://schemas.openxmlformats.org/officeDocument/2006/relationships/hyperlink" Target="https://www.facebook.com/WorldSportsGames/" TargetMode="External"/><Relationship Id="rId62" Type="http://schemas.openxmlformats.org/officeDocument/2006/relationships/hyperlink" Target="https://www.google.com/maps/place/?q=place_id:ChIJTf9VAVGbXjkRykkZTz-J4zE" TargetMode="External"/><Relationship Id="rId70" Type="http://schemas.openxmlformats.org/officeDocument/2006/relationships/hyperlink" Target="https://www.google.com/maps/place/?q=place_id:ChIJ9Q0VrNadXjkRmXDeo4CXCXo" TargetMode="External"/><Relationship Id="rId75" Type="http://schemas.openxmlformats.org/officeDocument/2006/relationships/hyperlink" Target="https://www.google.com/maps/place/?q=place_id:ChIJu-zh386FXjkRSe3b7S2DC-c" TargetMode="External"/><Relationship Id="rId83" Type="http://schemas.openxmlformats.org/officeDocument/2006/relationships/hyperlink" Target="https://www.google.com/maps/place/?q=place_id:ChIJxRa-2wabXjkRJ-FXxeNZBFM" TargetMode="External"/><Relationship Id="rId88" Type="http://schemas.openxmlformats.org/officeDocument/2006/relationships/hyperlink" Target="https://www.google.com/maps/place/?q=place_id:ChIJWeB-N5CcXjkR_wyi15REU5o" TargetMode="External"/><Relationship Id="rId1" Type="http://schemas.openxmlformats.org/officeDocument/2006/relationships/hyperlink" Target="http://www.dsacademyforsports.com/" TargetMode="External"/><Relationship Id="rId6" Type="http://schemas.openxmlformats.org/officeDocument/2006/relationships/hyperlink" Target="https://www.instagram.com/jugamos_sports_academy" TargetMode="External"/><Relationship Id="rId15" Type="http://schemas.openxmlformats.org/officeDocument/2006/relationships/hyperlink" Target="https://inhouse-amcmodules.ahmedabadcity.gov.in:11150/" TargetMode="External"/><Relationship Id="rId23" Type="http://schemas.openxmlformats.org/officeDocument/2006/relationships/hyperlink" Target="https://maps.google.com/?cid=9246101912440926361" TargetMode="External"/><Relationship Id="rId28" Type="http://schemas.openxmlformats.org/officeDocument/2006/relationships/hyperlink" Target="https://sports.gujarat.gov.in/" TargetMode="External"/><Relationship Id="rId36" Type="http://schemas.openxmlformats.org/officeDocument/2006/relationships/hyperlink" Target="https://ekaclub.net/" TargetMode="External"/><Relationship Id="rId49" Type="http://schemas.openxmlformats.org/officeDocument/2006/relationships/hyperlink" Target="https://www.justdial.com/Ahmedabad/Volleyball-Courts-in-Satellite/nct-11605535" TargetMode="External"/><Relationship Id="rId57" Type="http://schemas.openxmlformats.org/officeDocument/2006/relationships/hyperlink" Target="https://playo.co/venues/thaltej-ahmedabad/Sprint-Recreation-Thaltej-ahmedabad" TargetMode="External"/><Relationship Id="rId10" Type="http://schemas.openxmlformats.org/officeDocument/2006/relationships/hyperlink" Target="http://www.ahmedabadsportsacademy.com/" TargetMode="External"/><Relationship Id="rId31" Type="http://schemas.openxmlformats.org/officeDocument/2006/relationships/hyperlink" Target="https://sports.gujarat.gov.in/" TargetMode="External"/><Relationship Id="rId44" Type="http://schemas.openxmlformats.org/officeDocument/2006/relationships/hyperlink" Target="https://instagram.com/athletes_sports_academy007" TargetMode="External"/><Relationship Id="rId52" Type="http://schemas.openxmlformats.org/officeDocument/2006/relationships/hyperlink" Target="https://volleyballindia.com/PlayersPDF/StateVolleyballUnitPdf" TargetMode="External"/><Relationship Id="rId60" Type="http://schemas.openxmlformats.org/officeDocument/2006/relationships/hyperlink" Target="https://www.google.com/maps/place/?q=place_id:ChIJY8SzGKubXjkR8PVVvHBc6Go" TargetMode="External"/><Relationship Id="rId65" Type="http://schemas.openxmlformats.org/officeDocument/2006/relationships/hyperlink" Target="https://www.google.com/maps/place/?q=place_id:ChIJfR5LO6qDXjkRXo2YpqqCfYU" TargetMode="External"/><Relationship Id="rId73" Type="http://schemas.openxmlformats.org/officeDocument/2006/relationships/hyperlink" Target="https://www.google.com/maps/place/?q=place_id:ChIJhcqxxu-HXjkRaMlQrFnvlwc" TargetMode="External"/><Relationship Id="rId78" Type="http://schemas.openxmlformats.org/officeDocument/2006/relationships/hyperlink" Target="https://www.google.com/maps/place/?q=place_id:ChIJDWkW7r-FXjkRmkahc-soeHQ" TargetMode="External"/><Relationship Id="rId81" Type="http://schemas.openxmlformats.org/officeDocument/2006/relationships/hyperlink" Target="https://www.google.com/maps/place/?q=place_id:ChIJxZg1abCHXjkRS_IzUTBeg04" TargetMode="External"/><Relationship Id="rId86" Type="http://schemas.openxmlformats.org/officeDocument/2006/relationships/hyperlink" Target="https://www.google.com/maps/place/?q=place_id:ChIJU9kO_8GFXjkRvMhAD25I8YU" TargetMode="External"/><Relationship Id="rId4" Type="http://schemas.openxmlformats.org/officeDocument/2006/relationships/hyperlink" Target="https://cnvidyavihar.edu.in/institutions/special-institutes/sports-academy/" TargetMode="External"/><Relationship Id="rId9" Type="http://schemas.openxmlformats.org/officeDocument/2006/relationships/hyperlink" Target="http://www.ahmedabadsportsacademy.com/" TargetMode="External"/><Relationship Id="rId13" Type="http://schemas.openxmlformats.org/officeDocument/2006/relationships/hyperlink" Target="http://www.ahmedabadsportsacademy.com/" TargetMode="External"/><Relationship Id="rId18" Type="http://schemas.openxmlformats.org/officeDocument/2006/relationships/hyperlink" Target="https://www.instagram.com/aadhyaasportsacademy" TargetMode="External"/><Relationship Id="rId39" Type="http://schemas.openxmlformats.org/officeDocument/2006/relationships/hyperlink" Target="https://www.ssgits.org/" TargetMode="External"/><Relationship Id="rId34" Type="http://schemas.openxmlformats.org/officeDocument/2006/relationships/hyperlink" Target="https://ekaclub.net/" TargetMode="External"/><Relationship Id="rId50" Type="http://schemas.openxmlformats.org/officeDocument/2006/relationships/hyperlink" Target="https://www.justdial.com/Ahmedabad/Volleyball-Courts-in-Navrangpura/nct-11605535" TargetMode="External"/><Relationship Id="rId55" Type="http://schemas.openxmlformats.org/officeDocument/2006/relationships/hyperlink" Target="https://volleyballindia.com/" TargetMode="External"/><Relationship Id="rId76" Type="http://schemas.openxmlformats.org/officeDocument/2006/relationships/hyperlink" Target="https://www.google.com/maps/place/?q=place_id:ChIJY4lkvruGXjkRL39OrX10bDA" TargetMode="External"/><Relationship Id="rId7" Type="http://schemas.openxmlformats.org/officeDocument/2006/relationships/hyperlink" Target="https://www.instagram.com/jugamos_sports_academy" TargetMode="External"/><Relationship Id="rId71" Type="http://schemas.openxmlformats.org/officeDocument/2006/relationships/hyperlink" Target="https://www.google.com/maps/place/?q=place_id:ChIJ7b3g_QODXjkRGmEpAaXxSb4" TargetMode="External"/><Relationship Id="rId2" Type="http://schemas.openxmlformats.org/officeDocument/2006/relationships/hyperlink" Target="https://www.instagram.com/dsacademyforsports" TargetMode="External"/><Relationship Id="rId29" Type="http://schemas.openxmlformats.org/officeDocument/2006/relationships/hyperlink" Target="https://www.instagram.com/sportsauthorityofgujarat/" TargetMode="External"/><Relationship Id="rId24" Type="http://schemas.openxmlformats.org/officeDocument/2006/relationships/hyperlink" Target="http://huddle.co.in/" TargetMode="External"/><Relationship Id="rId40" Type="http://schemas.openxmlformats.org/officeDocument/2006/relationships/hyperlink" Target="https://www.justdial.com/Ahmedabad/Shree-Purushottam-Sports-Arena-Maninagar/079PXX79-XX79-250217200938-Y1A5_BZDET" TargetMode="External"/><Relationship Id="rId45" Type="http://schemas.openxmlformats.org/officeDocument/2006/relationships/hyperlink" Target="https://instagram.com/athletes_sports_academy007" TargetMode="External"/><Relationship Id="rId66" Type="http://schemas.openxmlformats.org/officeDocument/2006/relationships/hyperlink" Target="https://www.google.com/maps/place/?q=place_id:ChIJBY75GQCDXjkR40xARdtdVVE" TargetMode="External"/><Relationship Id="rId87" Type="http://schemas.openxmlformats.org/officeDocument/2006/relationships/hyperlink" Target="https://www.google.com/maps/place/?q=place_id:ChIJ-XV_pouEXjkREdPNp8GYYjg" TargetMode="External"/><Relationship Id="rId61" Type="http://schemas.openxmlformats.org/officeDocument/2006/relationships/hyperlink" Target="https://www.google.com/maps/place/?q=place_id:ChIJXU05BF-bXjkRhMXnW8C-7QQ" TargetMode="External"/><Relationship Id="rId82" Type="http://schemas.openxmlformats.org/officeDocument/2006/relationships/hyperlink" Target="https://www.google.com/maps/place/?q=place_id:ChIJM4HnIOKFXjkRn0m8Pxi1znk" TargetMode="External"/><Relationship Id="rId19" Type="http://schemas.openxmlformats.org/officeDocument/2006/relationships/hyperlink" Target="https://www.instagram.com/aadhyaasportsacademy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?q=place_id:ChIJBY75GQCDXjkR40xARdtdVVE" TargetMode="External"/><Relationship Id="rId18" Type="http://schemas.openxmlformats.org/officeDocument/2006/relationships/hyperlink" Target="https://www.google.com/maps/place/?q=place_id:ChIJ_-QtN1ODXjkRrkfiAqfqydk" TargetMode="External"/><Relationship Id="rId26" Type="http://schemas.openxmlformats.org/officeDocument/2006/relationships/hyperlink" Target="https://www.google.com/maps/place/?q=place_id:ChIJxZg1abCHXjkRS_IzUTBeg04" TargetMode="External"/><Relationship Id="rId39" Type="http://schemas.openxmlformats.org/officeDocument/2006/relationships/hyperlink" Target="https://www.google.com/maps/place/?q=place_id:ChIJ_b_OtJWEXjkRLIN-4_u-wvQ" TargetMode="External"/><Relationship Id="rId21" Type="http://schemas.openxmlformats.org/officeDocument/2006/relationships/hyperlink" Target="http://thegrowsports.com/" TargetMode="External"/><Relationship Id="rId34" Type="http://schemas.openxmlformats.org/officeDocument/2006/relationships/hyperlink" Target="https://www.google.com/maps/place/?q=place_id:ChIJtTXK5KeDXjkR4t7q9wXNqHg" TargetMode="External"/><Relationship Id="rId42" Type="http://schemas.openxmlformats.org/officeDocument/2006/relationships/hyperlink" Target="https://ymcaic.com/" TargetMode="External"/><Relationship Id="rId47" Type="http://schemas.openxmlformats.org/officeDocument/2006/relationships/hyperlink" Target="https://bookings.adanisportsline.com/" TargetMode="External"/><Relationship Id="rId50" Type="http://schemas.openxmlformats.org/officeDocument/2006/relationships/hyperlink" Target="https://www.google.com/maps/place/?q=place_id:ChIJu-zh386FXjkRSe3b7S2DC-c" TargetMode="External"/><Relationship Id="rId7" Type="http://schemas.openxmlformats.org/officeDocument/2006/relationships/hyperlink" Target="https://www.google.com/maps/place/?q=place_id:ChIJY8SzGKubXjkR8PVVvHBc6Go" TargetMode="External"/><Relationship Id="rId2" Type="http://schemas.openxmlformats.org/officeDocument/2006/relationships/hyperlink" Target="https://www.instagram.com/adanisportsline/" TargetMode="External"/><Relationship Id="rId16" Type="http://schemas.openxmlformats.org/officeDocument/2006/relationships/hyperlink" Target="https://sites.google.com/view/bornathletessportsacademy/home" TargetMode="External"/><Relationship Id="rId29" Type="http://schemas.openxmlformats.org/officeDocument/2006/relationships/hyperlink" Target="https://ahmedabadcity.gov.in/" TargetMode="External"/><Relationship Id="rId11" Type="http://schemas.openxmlformats.org/officeDocument/2006/relationships/hyperlink" Target="http://www.ahmedabadsportsacademy.com/" TargetMode="External"/><Relationship Id="rId24" Type="http://schemas.openxmlformats.org/officeDocument/2006/relationships/hyperlink" Target="https://www.google.com/maps/place/?q=place_id:ChIJ3wNL7VaHXjkRGDqBYB5sDns" TargetMode="External"/><Relationship Id="rId32" Type="http://schemas.openxmlformats.org/officeDocument/2006/relationships/hyperlink" Target="https://www.google.com/maps/place/?q=place_id:ChIJRdgugYeDXjkRfJmMVhaxs2Y" TargetMode="External"/><Relationship Id="rId37" Type="http://schemas.openxmlformats.org/officeDocument/2006/relationships/hyperlink" Target="https://www.instagram.com/aadhyaasportsacademy" TargetMode="External"/><Relationship Id="rId40" Type="http://schemas.openxmlformats.org/officeDocument/2006/relationships/hyperlink" Target="https://www.gujaratuniversity.ac.in/" TargetMode="External"/><Relationship Id="rId45" Type="http://schemas.openxmlformats.org/officeDocument/2006/relationships/hyperlink" Target="https://www.instagram.com/dsacademyforsports" TargetMode="External"/><Relationship Id="rId53" Type="http://schemas.openxmlformats.org/officeDocument/2006/relationships/hyperlink" Target="https://www.instagram.com/adanisportsline/" TargetMode="External"/><Relationship Id="rId5" Type="http://schemas.openxmlformats.org/officeDocument/2006/relationships/hyperlink" Target="https://www.google.com/maps/place/?q=place_id:ChIJ726EYOOEXjkRseJcpVKQtps" TargetMode="External"/><Relationship Id="rId10" Type="http://schemas.openxmlformats.org/officeDocument/2006/relationships/hyperlink" Target="https://www.google.com/maps/place/?q=place_id:ChIJTf9VAVGbXjkRykkZTz-J4zE" TargetMode="External"/><Relationship Id="rId19" Type="http://schemas.openxmlformats.org/officeDocument/2006/relationships/hyperlink" Target="http://sportsclub-gujarat.com/" TargetMode="External"/><Relationship Id="rId31" Type="http://schemas.openxmlformats.org/officeDocument/2006/relationships/hyperlink" Target="https://www.google.com/maps/place/?q=place_id:ChIJY03W5VmbXjkRb7nKIu20Otc" TargetMode="External"/><Relationship Id="rId44" Type="http://schemas.openxmlformats.org/officeDocument/2006/relationships/hyperlink" Target="http://www.dsacademyforsports.com/" TargetMode="External"/><Relationship Id="rId52" Type="http://schemas.openxmlformats.org/officeDocument/2006/relationships/hyperlink" Target="https://www.adanisportsline.com/en/academies" TargetMode="External"/><Relationship Id="rId4" Type="http://schemas.openxmlformats.org/officeDocument/2006/relationships/hyperlink" Target="https://cnvidyavihar.edu.in/institutions/special-institutes/sports-academy/" TargetMode="External"/><Relationship Id="rId9" Type="http://schemas.openxmlformats.org/officeDocument/2006/relationships/hyperlink" Target="http://www.ahmedabadsportsacademy.com/" TargetMode="External"/><Relationship Id="rId14" Type="http://schemas.openxmlformats.org/officeDocument/2006/relationships/hyperlink" Target="https://sports.sgvp.org/" TargetMode="External"/><Relationship Id="rId22" Type="http://schemas.openxmlformats.org/officeDocument/2006/relationships/hyperlink" Target="https://www.google.com/maps/place/?q=place_id:ChIJWaLOtS6HXjkRr2WeMzwnr2k" TargetMode="External"/><Relationship Id="rId27" Type="http://schemas.openxmlformats.org/officeDocument/2006/relationships/hyperlink" Target="https://sycd.gujarat.gov.in/" TargetMode="External"/><Relationship Id="rId30" Type="http://schemas.openxmlformats.org/officeDocument/2006/relationships/hyperlink" Target="https://www.google.com/maps/place/?q=place_id:ChIJfR5LO6qDXjkRXo2YpqqCfYU" TargetMode="External"/><Relationship Id="rId35" Type="http://schemas.openxmlformats.org/officeDocument/2006/relationships/hyperlink" Target="http://vijayibharatsports.org/" TargetMode="External"/><Relationship Id="rId43" Type="http://schemas.openxmlformats.org/officeDocument/2006/relationships/hyperlink" Target="https://www.google.com/maps/place/?q=place_id:ChIJk5uBjN6aXjkR3XFSwrafzrQ" TargetMode="External"/><Relationship Id="rId48" Type="http://schemas.openxmlformats.org/officeDocument/2006/relationships/hyperlink" Target="https://www.google.com/maps/place/?q=place_id:ChIJtWboZYWFXjkRjjQyC4mBtqU" TargetMode="External"/><Relationship Id="rId8" Type="http://schemas.openxmlformats.org/officeDocument/2006/relationships/hyperlink" Target="https://www.google.com/maps/place/?q=place_id:ChIJm49AiKKcXjkRDKtUOxk2Ijs" TargetMode="External"/><Relationship Id="rId51" Type="http://schemas.openxmlformats.org/officeDocument/2006/relationships/hyperlink" Target="https://www.google.com/maps/place/?q=place_id:ChIJ9Q0VrNadXjkRmXDeo4CXCXo" TargetMode="External"/><Relationship Id="rId3" Type="http://schemas.openxmlformats.org/officeDocument/2006/relationships/hyperlink" Target="https://www.google.com/maps/place/?q=place_id:ChIJM4HnIOKFXjkRn0m8Pxi1znk" TargetMode="External"/><Relationship Id="rId12" Type="http://schemas.openxmlformats.org/officeDocument/2006/relationships/hyperlink" Target="https://www.google.com/maps/place/?q=place_id:ChIJXU05BF-bXjkRhMXnW8C-7QQ" TargetMode="External"/><Relationship Id="rId17" Type="http://schemas.openxmlformats.org/officeDocument/2006/relationships/hyperlink" Target="https://www.google.com/maps/place/?q=place_id:ChIJyThNH5mbXjkRC228aTrPlPw" TargetMode="External"/><Relationship Id="rId25" Type="http://schemas.openxmlformats.org/officeDocument/2006/relationships/hyperlink" Target="https://instagram.com/athletes_sports_academy007" TargetMode="External"/><Relationship Id="rId33" Type="http://schemas.openxmlformats.org/officeDocument/2006/relationships/hyperlink" Target="http://www.risingsportsacademy.com/" TargetMode="External"/><Relationship Id="rId38" Type="http://schemas.openxmlformats.org/officeDocument/2006/relationships/hyperlink" Target="https://www.google.com/maps/place/?q=place_id:ChIJEdOtK4ODXjkRU7tkU1n128M" TargetMode="External"/><Relationship Id="rId46" Type="http://schemas.openxmlformats.org/officeDocument/2006/relationships/hyperlink" Target="https://www.google.com/maps/place/?q=place_id:ChIJryJHebSEXjkRdFuq3OtY4dU" TargetMode="External"/><Relationship Id="rId20" Type="http://schemas.openxmlformats.org/officeDocument/2006/relationships/hyperlink" Target="https://www.google.com/maps/place/?q=place_id:ChIJKR1rrouEXjkRceBsiuClM68" TargetMode="External"/><Relationship Id="rId41" Type="http://schemas.openxmlformats.org/officeDocument/2006/relationships/hyperlink" Target="https://www.google.com/maps/place/?q=place_id:ChIJDWkW7r-FXjkRmkahc-soeHQ" TargetMode="External"/><Relationship Id="rId54" Type="http://schemas.openxmlformats.org/officeDocument/2006/relationships/table" Target="../tables/table7.xml"/><Relationship Id="rId1" Type="http://schemas.openxmlformats.org/officeDocument/2006/relationships/hyperlink" Target="https://bookings.adanisportsline.com/" TargetMode="External"/><Relationship Id="rId6" Type="http://schemas.openxmlformats.org/officeDocument/2006/relationships/hyperlink" Target="https://www.instagram.com/jugamos_sports_academy" TargetMode="External"/><Relationship Id="rId15" Type="http://schemas.openxmlformats.org/officeDocument/2006/relationships/hyperlink" Target="https://www.google.com/maps/place/?q=place_id:ChIJS5uO4-qCXjkRFuYBTAM-RUg" TargetMode="External"/><Relationship Id="rId23" Type="http://schemas.openxmlformats.org/officeDocument/2006/relationships/hyperlink" Target="https://www.google.com/maps/place/?q=place_id:ChIJyRjeUQCHXjkRPQJiFwCdYP8" TargetMode="External"/><Relationship Id="rId28" Type="http://schemas.openxmlformats.org/officeDocument/2006/relationships/hyperlink" Target="https://www.google.com/maps/place/?q=place_id:ChIJhcqxxu-HXjkRaMlQrFnvlwc" TargetMode="External"/><Relationship Id="rId36" Type="http://schemas.openxmlformats.org/officeDocument/2006/relationships/hyperlink" Target="https://www.google.com/maps/place/?q=place_id:ChIJYX5KuiObXjkRfFu0TPe9r7s" TargetMode="External"/><Relationship Id="rId49" Type="http://schemas.openxmlformats.org/officeDocument/2006/relationships/hyperlink" Target="https://www.ekaclub.net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ahmedabadsportsacademy.com/" TargetMode="External"/><Relationship Id="rId21" Type="http://schemas.openxmlformats.org/officeDocument/2006/relationships/hyperlink" Target="https://rsaindia.co.in/" TargetMode="External"/><Relationship Id="rId42" Type="http://schemas.openxmlformats.org/officeDocument/2006/relationships/hyperlink" Target="https://www.bookmyplayer.com/skating/little-champs-skating-classes-academy-in-ahmedabad-gujarat-aid-3675" TargetMode="External"/><Relationship Id="rId47" Type="http://schemas.openxmlformats.org/officeDocument/2006/relationships/hyperlink" Target="https://www.google.com/maps/place/?q=place_id:ChIJcYmpFACbXjkR_9pBAg4rNqA" TargetMode="External"/><Relationship Id="rId63" Type="http://schemas.openxmlformats.org/officeDocument/2006/relationships/hyperlink" Target="https://www.google.com/maps/place/?q=place_id:ChIJWxsTokeFXjkRw5xOBgm9Df0" TargetMode="External"/><Relationship Id="rId68" Type="http://schemas.openxmlformats.org/officeDocument/2006/relationships/hyperlink" Target="https://www.google.com/maps/place/?q=place_id:ChIJkQB3SDWHXjkRDyGMrNr5fZ4" TargetMode="External"/><Relationship Id="rId2" Type="http://schemas.openxmlformats.org/officeDocument/2006/relationships/hyperlink" Target="https://www.google.com/maps/place/?q=place_id:ChIJ47jE1fObXjkRGX94VCG0EKw" TargetMode="External"/><Relationship Id="rId16" Type="http://schemas.openxmlformats.org/officeDocument/2006/relationships/hyperlink" Target="https://discover.lyfskills.com/listing/26650" TargetMode="External"/><Relationship Id="rId29" Type="http://schemas.openxmlformats.org/officeDocument/2006/relationships/hyperlink" Target="http://rkcoaching.com/" TargetMode="External"/><Relationship Id="rId11" Type="http://schemas.openxmlformats.org/officeDocument/2006/relationships/hyperlink" Target="http://www.shreyasfoundation.in/" TargetMode="External"/><Relationship Id="rId24" Type="http://schemas.openxmlformats.org/officeDocument/2006/relationships/hyperlink" Target="http://www.ahmedabadsportsacademy.com/" TargetMode="External"/><Relationship Id="rId32" Type="http://schemas.openxmlformats.org/officeDocument/2006/relationships/hyperlink" Target="http://rkcoaching.com/" TargetMode="External"/><Relationship Id="rId37" Type="http://schemas.openxmlformats.org/officeDocument/2006/relationships/hyperlink" Target="http://risingsportsacademy.com/" TargetMode="External"/><Relationship Id="rId40" Type="http://schemas.openxmlformats.org/officeDocument/2006/relationships/hyperlink" Target="https://www.instagram.com/little_champs_skating_classes1/" TargetMode="External"/><Relationship Id="rId45" Type="http://schemas.openxmlformats.org/officeDocument/2006/relationships/hyperlink" Target="https://swaraajsports.com/" TargetMode="External"/><Relationship Id="rId53" Type="http://schemas.openxmlformats.org/officeDocument/2006/relationships/hyperlink" Target="https://www.google.com/maps/place/?q=place_id:ChIJQwdDsBqHXjkRcCOLbviNSdk" TargetMode="External"/><Relationship Id="rId58" Type="http://schemas.openxmlformats.org/officeDocument/2006/relationships/hyperlink" Target="https://www.google.com/maps/place/?q=place_id:ChIJd7nUof-GXjkRN3gkG2D1ZRc" TargetMode="External"/><Relationship Id="rId66" Type="http://schemas.openxmlformats.org/officeDocument/2006/relationships/hyperlink" Target="https://www.google.com/maps/place/?q=place_id:ChIJ5_ZLOE-HXjkRefT8VwokSwY" TargetMode="External"/><Relationship Id="rId74" Type="http://schemas.openxmlformats.org/officeDocument/2006/relationships/hyperlink" Target="https://www.google.com/maps/search/?api=1&amp;query=Super+Skater+Academy+Gopal+Chawk+Bapunagar+Ahmedabad+Gujarat+380024" TargetMode="External"/><Relationship Id="rId5" Type="http://schemas.openxmlformats.org/officeDocument/2006/relationships/hyperlink" Target="http://www.ahmedabadsportsacademy.com/" TargetMode="External"/><Relationship Id="rId61" Type="http://schemas.openxmlformats.org/officeDocument/2006/relationships/hyperlink" Target="https://www.google.com/maps/place/?q=place_id:ChIJEcOwPwCHXjkR7Chccs9SM8k" TargetMode="External"/><Relationship Id="rId19" Type="http://schemas.openxmlformats.org/officeDocument/2006/relationships/hyperlink" Target="https://rsaindia.co.in/" TargetMode="External"/><Relationship Id="rId14" Type="http://schemas.openxmlformats.org/officeDocument/2006/relationships/hyperlink" Target="https://www.google.com/maps/place/?q=place_id:ChIJNUDP0vKFXjkR7WAyJFzNeOs" TargetMode="External"/><Relationship Id="rId22" Type="http://schemas.openxmlformats.org/officeDocument/2006/relationships/hyperlink" Target="https://www.google.com/maps/place/?q=place_id:ChIJ835UZxybXjkR5yJjvlOgys0" TargetMode="External"/><Relationship Id="rId27" Type="http://schemas.openxmlformats.org/officeDocument/2006/relationships/hyperlink" Target="http://rkcoaching.com/" TargetMode="External"/><Relationship Id="rId30" Type="http://schemas.openxmlformats.org/officeDocument/2006/relationships/hyperlink" Target="http://rkcoaching.com/" TargetMode="External"/><Relationship Id="rId35" Type="http://schemas.openxmlformats.org/officeDocument/2006/relationships/hyperlink" Target="http://risingsportsacademy.com/" TargetMode="External"/><Relationship Id="rId43" Type="http://schemas.openxmlformats.org/officeDocument/2006/relationships/hyperlink" Target="https://swaraajsports.com/" TargetMode="External"/><Relationship Id="rId48" Type="http://schemas.openxmlformats.org/officeDocument/2006/relationships/hyperlink" Target="https://rsaindia.co.in/" TargetMode="External"/><Relationship Id="rId56" Type="http://schemas.openxmlformats.org/officeDocument/2006/relationships/hyperlink" Target="https://www.google.com/maps/place/?q=place_id:ChIJWaLOtS6HXjkRr2WeMzwnr2k" TargetMode="External"/><Relationship Id="rId64" Type="http://schemas.openxmlformats.org/officeDocument/2006/relationships/hyperlink" Target="https://www.google.com/maps/place/?q=place_id:ChIJkz_SCxGFXjkR9_b12Dwqeso" TargetMode="External"/><Relationship Id="rId69" Type="http://schemas.openxmlformats.org/officeDocument/2006/relationships/hyperlink" Target="https://www.google.com/maps/place/?q=place_id:ChIJ2apcSAmFXjkRJVYDDflx010" TargetMode="External"/><Relationship Id="rId8" Type="http://schemas.openxmlformats.org/officeDocument/2006/relationships/hyperlink" Target="https://sites.google.com/view/bornathletessportsacademy/home" TargetMode="External"/><Relationship Id="rId51" Type="http://schemas.openxmlformats.org/officeDocument/2006/relationships/hyperlink" Target="https://bookings.adanisportsline.com/" TargetMode="External"/><Relationship Id="rId72" Type="http://schemas.openxmlformats.org/officeDocument/2006/relationships/hyperlink" Target="https://discover.lyfskills.com/listing/27142" TargetMode="External"/><Relationship Id="rId3" Type="http://schemas.openxmlformats.org/officeDocument/2006/relationships/hyperlink" Target="http://www.ahmedabadsportsacademy.com/" TargetMode="External"/><Relationship Id="rId12" Type="http://schemas.openxmlformats.org/officeDocument/2006/relationships/hyperlink" Target="https://www.google.com/maps/place/?q=place_id:ChIJZYUpRACFXjkRY_v8ua4mchA" TargetMode="External"/><Relationship Id="rId17" Type="http://schemas.openxmlformats.org/officeDocument/2006/relationships/hyperlink" Target="https://www.google.com/maps/search/?api=1&amp;query=Manish+Skating+Navrang+Sports+Academy+Navrangpura+Ahmedabad+Gujarat+380013" TargetMode="External"/><Relationship Id="rId25" Type="http://schemas.openxmlformats.org/officeDocument/2006/relationships/hyperlink" Target="https://www.google.com/maps/place/?q=place_id:ChIJXU05BF-bXjkRhMXnW8C-7QQ" TargetMode="External"/><Relationship Id="rId33" Type="http://schemas.openxmlformats.org/officeDocument/2006/relationships/hyperlink" Target="https://www.google.com/maps/place/?q=place_id:ChIJzfnDaQCDXjkR8TeVpfHw3II" TargetMode="External"/><Relationship Id="rId38" Type="http://schemas.openxmlformats.org/officeDocument/2006/relationships/hyperlink" Target="https://www.google.com/maps/place/?q=place_id:ChIJRdgugYeDXjkRfJmMVhaxs2Y" TargetMode="External"/><Relationship Id="rId46" Type="http://schemas.openxmlformats.org/officeDocument/2006/relationships/hyperlink" Target="https://rsaindia.co.in/" TargetMode="External"/><Relationship Id="rId59" Type="http://schemas.openxmlformats.org/officeDocument/2006/relationships/hyperlink" Target="https://www.google.com/maps/place/?q=place_id:ChIJ3wNL7VaHXjkRGDqBYB5sDns" TargetMode="External"/><Relationship Id="rId67" Type="http://schemas.openxmlformats.org/officeDocument/2006/relationships/hyperlink" Target="https://www.google.com/maps/place/?q=place_id:ChIJhcqxxu-HXjkRaMlQrFnvlwc" TargetMode="External"/><Relationship Id="rId20" Type="http://schemas.openxmlformats.org/officeDocument/2006/relationships/hyperlink" Target="https://www.google.com/maps/place/?q=place_id:ChIJm-pqT4-bXjkRZxQ_3Jxkj88" TargetMode="External"/><Relationship Id="rId41" Type="http://schemas.openxmlformats.org/officeDocument/2006/relationships/hyperlink" Target="https://www.google.com/maps/place/?q=place_id:ChIJgfCVyySDXjkRrB1h3hIMx1U" TargetMode="External"/><Relationship Id="rId54" Type="http://schemas.openxmlformats.org/officeDocument/2006/relationships/hyperlink" Target="http://www.parvaazskatingzone.blogspot.com/" TargetMode="External"/><Relationship Id="rId62" Type="http://schemas.openxmlformats.org/officeDocument/2006/relationships/hyperlink" Target="https://www.google.com/maps/place/?q=place_id:ChIJKZx1dQiFXjkRljZRD14lfVo" TargetMode="External"/><Relationship Id="rId70" Type="http://schemas.openxmlformats.org/officeDocument/2006/relationships/hyperlink" Target="https://discover.lyfskills.com/listing/27142" TargetMode="External"/><Relationship Id="rId75" Type="http://schemas.openxmlformats.org/officeDocument/2006/relationships/table" Target="../tables/table9.xml"/><Relationship Id="rId1" Type="http://schemas.openxmlformats.org/officeDocument/2006/relationships/hyperlink" Target="https://www.google.com/maps/place/?q=place_id:ChIJgfCVyySDXjkRrB1h3hIMx1U" TargetMode="External"/><Relationship Id="rId6" Type="http://schemas.openxmlformats.org/officeDocument/2006/relationships/hyperlink" Target="https://sites.google.com/view/bornathletessportsacademy/home" TargetMode="External"/><Relationship Id="rId15" Type="http://schemas.openxmlformats.org/officeDocument/2006/relationships/hyperlink" Target="https://www.google.com/maps/place/?q=place_id:ChIJzU6Jp5qEXjkRMf8G7mJ7HkE" TargetMode="External"/><Relationship Id="rId23" Type="http://schemas.openxmlformats.org/officeDocument/2006/relationships/hyperlink" Target="https://magicpin.in/Ahmedabad/Bopal/Fitness/Hb-Sports-Skating-Academy/store/19372ab" TargetMode="External"/><Relationship Id="rId28" Type="http://schemas.openxmlformats.org/officeDocument/2006/relationships/hyperlink" Target="https://www.google.com/maps/place/?q=place_id:ChIJvWOPPxydXjkRZYgD7YjMqvQ" TargetMode="External"/><Relationship Id="rId36" Type="http://schemas.openxmlformats.org/officeDocument/2006/relationships/hyperlink" Target="https://www.google.com/maps/place/?q=place_id:ChIJtTXK5KeDXjkR4t7q9wXNqHg" TargetMode="External"/><Relationship Id="rId49" Type="http://schemas.openxmlformats.org/officeDocument/2006/relationships/hyperlink" Target="https://bookings.adanisportsline.com/" TargetMode="External"/><Relationship Id="rId57" Type="http://schemas.openxmlformats.org/officeDocument/2006/relationships/hyperlink" Target="http://thegrowsports.com/" TargetMode="External"/><Relationship Id="rId10" Type="http://schemas.openxmlformats.org/officeDocument/2006/relationships/hyperlink" Target="https://www.google.com/maps/place/?q=place_id:ChIJm49AiKKcXjkRDKtUOxk2Ijs" TargetMode="External"/><Relationship Id="rId31" Type="http://schemas.openxmlformats.org/officeDocument/2006/relationships/hyperlink" Target="https://www.google.com/maps/place/?q=place_id:ChIJz_K1fR2DXjkRQ26mR9z1bK8" TargetMode="External"/><Relationship Id="rId44" Type="http://schemas.openxmlformats.org/officeDocument/2006/relationships/hyperlink" Target="https://www.google.com/maps/place/?q=place_id:ChIJG6aZFh6DXjkRYTc2ioMcUiM" TargetMode="External"/><Relationship Id="rId52" Type="http://schemas.openxmlformats.org/officeDocument/2006/relationships/hyperlink" Target="http://www.parvaazskatingzone.blogspot.com/" TargetMode="External"/><Relationship Id="rId60" Type="http://schemas.openxmlformats.org/officeDocument/2006/relationships/hyperlink" Target="https://www.google.com/maps/place/?q=place_id:ChIJM2FuMgCHXjkR5lEfkcKLdqw" TargetMode="External"/><Relationship Id="rId65" Type="http://schemas.openxmlformats.org/officeDocument/2006/relationships/hyperlink" Target="https://www.google.com/maps/place/?q=place_id:ChIJU6yiUgCFXjkRqcOzdnV0spQ" TargetMode="External"/><Relationship Id="rId73" Type="http://schemas.openxmlformats.org/officeDocument/2006/relationships/hyperlink" Target="https://www.google.com/maps/place/?q=place_id:ChIJ4WPcrjyHXjkRRl7_JXXldto" TargetMode="External"/><Relationship Id="rId4" Type="http://schemas.openxmlformats.org/officeDocument/2006/relationships/hyperlink" Target="https://www.google.com/maps/place/?q=place_id:ChIJTf9VAVGbXjkRykkZTz-J4zE" TargetMode="External"/><Relationship Id="rId9" Type="http://schemas.openxmlformats.org/officeDocument/2006/relationships/hyperlink" Target="https://www.google.com/maps/place/?q=place_id:ChIJfedpqNyFXjkR_QbT8fx_s5o" TargetMode="External"/><Relationship Id="rId13" Type="http://schemas.openxmlformats.org/officeDocument/2006/relationships/hyperlink" Target="http://www.shreyasfoundation.in/" TargetMode="External"/><Relationship Id="rId18" Type="http://schemas.openxmlformats.org/officeDocument/2006/relationships/hyperlink" Target="https://www.google.com/maps/place/?q=place_id:ChIJ3RG2If2DXjkR3BIZRjz92G0" TargetMode="External"/><Relationship Id="rId39" Type="http://schemas.openxmlformats.org/officeDocument/2006/relationships/hyperlink" Target="https://magicpin.in/Ahmedabad/Motera/Other/V2-Sports-Academy/store/21520bb" TargetMode="External"/><Relationship Id="rId34" Type="http://schemas.openxmlformats.org/officeDocument/2006/relationships/hyperlink" Target="https://www.facebook.com/mssports11/" TargetMode="External"/><Relationship Id="rId50" Type="http://schemas.openxmlformats.org/officeDocument/2006/relationships/hyperlink" Target="https://www.google.com/maps/place/?q=place_id:ChIJKaRJqxuFXjkR7nwkKHjTpd0" TargetMode="External"/><Relationship Id="rId55" Type="http://schemas.openxmlformats.org/officeDocument/2006/relationships/hyperlink" Target="http://thegrowsports.com/" TargetMode="External"/><Relationship Id="rId7" Type="http://schemas.openxmlformats.org/officeDocument/2006/relationships/hyperlink" Target="https://www.google.com/maps/place/?q=place_id:ChIJyThNH5mbXjkRC228aTrPlPw" TargetMode="External"/><Relationship Id="rId71" Type="http://schemas.openxmlformats.org/officeDocument/2006/relationships/hyperlink" Target="https://www.google.com/maps/place/?q=place_id:ChIJzU3p_Z-FXjkRj7vj4XnYq-w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wxcLdByS4kSQ44Xk9" TargetMode="External"/><Relationship Id="rId18" Type="http://schemas.openxmlformats.org/officeDocument/2006/relationships/hyperlink" Target="https://www.google.com/maps/search/?api=1&amp;query=Sardar+Patel+Stadium+Vyayam+Shala+Navrangpura+Ahmedabad" TargetMode="External"/><Relationship Id="rId26" Type="http://schemas.openxmlformats.org/officeDocument/2006/relationships/hyperlink" Target="https://www.google.com/maps/search/?api=1&amp;query=Gujarat+Sports+Academy+Chandlodiya+Ahmedabad&amp;query_place_id=ChIJw6T1womDXjkRswxQfRLiPFk" TargetMode="External"/><Relationship Id="rId39" Type="http://schemas.openxmlformats.org/officeDocument/2006/relationships/hyperlink" Target="https://www.google.com/maps/search/?api=1&amp;query=Sports+Authority+of+Gujarat+Vavol+Gandhinagar&amp;query_place_id=ChIJFenY1aYrXDkRvdc1HhS027c" TargetMode="External"/><Relationship Id="rId21" Type="http://schemas.openxmlformats.org/officeDocument/2006/relationships/hyperlink" Target="https://www.google.com/maps/search/?api=1&amp;query=GRP+Sports+Academy+Vastral+Ahmedabad&amp;query_place_id=ChIJaRPxdreHXjkRBtO4MRPmHpE" TargetMode="External"/><Relationship Id="rId34" Type="http://schemas.openxmlformats.org/officeDocument/2006/relationships/hyperlink" Target="https://inhouse-amcmodules.ahmedabadcity.gov.in:11150/" TargetMode="External"/><Relationship Id="rId7" Type="http://schemas.openxmlformats.org/officeDocument/2006/relationships/hyperlink" Target="https://maps.app.goo.gl/pLoiByvnBE5UDfaZ7" TargetMode="External"/><Relationship Id="rId2" Type="http://schemas.openxmlformats.org/officeDocument/2006/relationships/hyperlink" Target="https://www.justdial.com/Ahmedabad/Sardar-Bridge-Sports-Kabaddi-Academy-Om-Shanti-Nagar/079PXX79-XX79-220921211612-N4I3_BZDET" TargetMode="External"/><Relationship Id="rId16" Type="http://schemas.openxmlformats.org/officeDocument/2006/relationships/hyperlink" Target="https://www.bookmyplayer.com/kabaddi/eklavya-sports-academy-in-ahmedabad-gujarat-aid-6221" TargetMode="External"/><Relationship Id="rId20" Type="http://schemas.openxmlformats.org/officeDocument/2006/relationships/hyperlink" Target="https://grpsportsacademy.com/contact-us/" TargetMode="External"/><Relationship Id="rId29" Type="http://schemas.openxmlformats.org/officeDocument/2006/relationships/hyperlink" Target="https://www.justdial.com/Ahmedabad/Kabaddi-Clubs/nct-11981742" TargetMode="External"/><Relationship Id="rId41" Type="http://schemas.openxmlformats.org/officeDocument/2006/relationships/table" Target="../tables/table11.xml"/><Relationship Id="rId1" Type="http://schemas.openxmlformats.org/officeDocument/2006/relationships/hyperlink" Target="https://www.google.com/maps/search/?api=1&amp;query=Sardar+Bridge+Sports+Kabaddi+Academy+Jamalpur+Ahmedabad&amp;query_place_id=ChIJ55vAmbGFXjkRkWiYjpRxsYY" TargetMode="External"/><Relationship Id="rId6" Type="http://schemas.openxmlformats.org/officeDocument/2006/relationships/hyperlink" Target="https://sycd.gujarat.gov.in/department-address.htm" TargetMode="External"/><Relationship Id="rId11" Type="http://schemas.openxmlformats.org/officeDocument/2006/relationships/hyperlink" Target="https://sycd.gujarat.gov.in/" TargetMode="External"/><Relationship Id="rId24" Type="http://schemas.openxmlformats.org/officeDocument/2006/relationships/hyperlink" Target="https://www.google.com/maps/search/?api=1&amp;query=Champions+Martial+Art+Academy+Thaltej+Ahmedabad&amp;query_place_id=ChIJmSH61rmDXjkRYaYf2_iohEo" TargetMode="External"/><Relationship Id="rId32" Type="http://schemas.openxmlformats.org/officeDocument/2006/relationships/hyperlink" Target="https://inhouse-amcmodules.ahmedabadcity.gov.in:11150/" TargetMode="External"/><Relationship Id="rId37" Type="http://schemas.openxmlformats.org/officeDocument/2006/relationships/hyperlink" Target="https://inhouse-amcmodules.ahmedabadcity.gov.in:11150/" TargetMode="External"/><Relationship Id="rId40" Type="http://schemas.openxmlformats.org/officeDocument/2006/relationships/hyperlink" Target="https://gujaratstatekabaddi.com/" TargetMode="External"/><Relationship Id="rId5" Type="http://schemas.openxmlformats.org/officeDocument/2006/relationships/hyperlink" Target="https://cnvidyavihar.edu.in/institutions/special-institutes/sports-academy/" TargetMode="External"/><Relationship Id="rId15" Type="http://schemas.openxmlformats.org/officeDocument/2006/relationships/hyperlink" Target="https://www.google.com/maps/search/?api=1&amp;query=Eklavya+Sports+Academy+Thaltej+Ahmedabad" TargetMode="External"/><Relationship Id="rId23" Type="http://schemas.openxmlformats.org/officeDocument/2006/relationships/hyperlink" Target="https://championsmartialart.in/" TargetMode="External"/><Relationship Id="rId28" Type="http://schemas.openxmlformats.org/officeDocument/2006/relationships/hyperlink" Target="https://www.google.com/maps/search/?api=1&amp;query=Shree+Siddh+Vijay+Hanumanji+Mandir+Ghuma+Ahmedabad&amp;query_place_id=ChIJT8uwtsebXjkRZ_IDjGwAgqc" TargetMode="External"/><Relationship Id="rId36" Type="http://schemas.openxmlformats.org/officeDocument/2006/relationships/hyperlink" Target="https://www.google.com/maps/search/?api=1&amp;query=STAG+AMC+Gota+recreation+center+Sola+Ahmedabad&amp;query_place_id=ChIJx8bhszuDXjkRHfxZobpZfb8" TargetMode="External"/><Relationship Id="rId10" Type="http://schemas.openxmlformats.org/officeDocument/2006/relationships/hyperlink" Target="https://maps.app.goo.gl/rox6tHdr5xErC2ry7" TargetMode="External"/><Relationship Id="rId19" Type="http://schemas.openxmlformats.org/officeDocument/2006/relationships/hyperlink" Target="https://www.justdial.com/Ahmedabad/Sardar-Patel-Stadium-Vyayam-Shala-Navrangpura/079PXX79-XX79-200702211215-M2J1" TargetMode="External"/><Relationship Id="rId31" Type="http://schemas.openxmlformats.org/officeDocument/2006/relationships/hyperlink" Target="https://www.google.com/maps/search/?api=1&amp;query=Mankol+Kabaddi+Club+Sanand+Ahmedabad" TargetMode="External"/><Relationship Id="rId4" Type="http://schemas.openxmlformats.org/officeDocument/2006/relationships/hyperlink" Target="https://www.google.com/maps/search/?api=1&amp;query=C+N+Kabaddi+Ground+Ambawadi+Ahmedabad&amp;query_place_id=ChIJMeyNuzCFXjkRtOO7uuBDYdE" TargetMode="External"/><Relationship Id="rId9" Type="http://schemas.openxmlformats.org/officeDocument/2006/relationships/hyperlink" Target="https://sycd.gujarat.gov.in/" TargetMode="External"/><Relationship Id="rId14" Type="http://schemas.openxmlformats.org/officeDocument/2006/relationships/hyperlink" Target="https://ekaclub.net/" TargetMode="External"/><Relationship Id="rId22" Type="http://schemas.openxmlformats.org/officeDocument/2006/relationships/hyperlink" Target="https://grpsportsacademy.com/contact-us/" TargetMode="External"/><Relationship Id="rId27" Type="http://schemas.openxmlformats.org/officeDocument/2006/relationships/hyperlink" Target="https://www.justdial.com/Ahmedabad/Gujarat-Sports-Academy-Near-Dev-City-Opposite-Ravija-Flat-Chandlodiya/079PXX79-XX79-130723154431-M6P1_BZDET" TargetMode="External"/><Relationship Id="rId30" Type="http://schemas.openxmlformats.org/officeDocument/2006/relationships/hyperlink" Target="https://www.google.com/maps/search/?api=1&amp;query=Mankol+Kabaddi+Club+Sanand+Ahmedabad&amp;query_place_id=ChIJ_fsbjuu8XjkR8ZeCvkMqilQ" TargetMode="External"/><Relationship Id="rId35" Type="http://schemas.openxmlformats.org/officeDocument/2006/relationships/hyperlink" Target="https://inhouse-amcmodules.ahmedabadcity.gov.in:11150/" TargetMode="External"/><Relationship Id="rId8" Type="http://schemas.openxmlformats.org/officeDocument/2006/relationships/hyperlink" Target="https://sycd.gujarat.gov.in/" TargetMode="External"/><Relationship Id="rId3" Type="http://schemas.openxmlformats.org/officeDocument/2006/relationships/hyperlink" Target="https://cnvidyavihar.edu.in/institutions/special-institutes/sports-academy/" TargetMode="External"/><Relationship Id="rId12" Type="http://schemas.openxmlformats.org/officeDocument/2006/relationships/hyperlink" Target="https://ekaclub.net/" TargetMode="External"/><Relationship Id="rId17" Type="http://schemas.openxmlformats.org/officeDocument/2006/relationships/hyperlink" Target="https://www.justdial.com/Ahmedabad/Shri-Ambubhai-Purani-Vyayam-Vidyalaya-Near-Football-Ground-Kankaria/079PXX79-XX79-110506144629-L1Y1" TargetMode="External"/><Relationship Id="rId25" Type="http://schemas.openxmlformats.org/officeDocument/2006/relationships/hyperlink" Target="https://championsmartialart.in/" TargetMode="External"/><Relationship Id="rId33" Type="http://schemas.openxmlformats.org/officeDocument/2006/relationships/hyperlink" Target="https://www.google.com/maps/search/?api=1&amp;query=Veer+Savarkar+Sports+Complex+Saijpur+Bogha+Ahmedabad&amp;query_place_id=ChIJY4lkvruGXjkRL39OrX10bDA" TargetMode="External"/><Relationship Id="rId38" Type="http://schemas.openxmlformats.org/officeDocument/2006/relationships/hyperlink" Target="https://gujaratstatekabaddi.com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?q=place_id:ChIJEbUj3MWFXjkRqzHWWiLeP5o" TargetMode="External"/><Relationship Id="rId18" Type="http://schemas.openxmlformats.org/officeDocument/2006/relationships/hyperlink" Target="http://www.gujaratshooting.com/" TargetMode="External"/><Relationship Id="rId26" Type="http://schemas.openxmlformats.org/officeDocument/2006/relationships/hyperlink" Target="https://www.google.com/maps/place/?q=place_id:ChIJ3wNL7VaHXjkRGDqBYB5sDns" TargetMode="External"/><Relationship Id="rId39" Type="http://schemas.openxmlformats.org/officeDocument/2006/relationships/hyperlink" Target="https://www.google.com/maps/place/?q=place_id:ChIJm49AiKKcXjkRDKtUOxk2Ijs" TargetMode="External"/><Relationship Id="rId21" Type="http://schemas.openxmlformats.org/officeDocument/2006/relationships/hyperlink" Target="https://www.instagram.com/athletes_sports_academy007/" TargetMode="External"/><Relationship Id="rId34" Type="http://schemas.openxmlformats.org/officeDocument/2006/relationships/hyperlink" Target="https://www.google.com/maps/place/?q=place_id:ChIJw7h1hUibXjkRrKnYvZBfXB0" TargetMode="External"/><Relationship Id="rId42" Type="http://schemas.openxmlformats.org/officeDocument/2006/relationships/hyperlink" Target="https://www.google.com/maps/place/?q=place_id:ChIJo7aWnGibXjkR3WL_mPeteDs" TargetMode="External"/><Relationship Id="rId47" Type="http://schemas.openxmlformats.org/officeDocument/2006/relationships/hyperlink" Target="https://www.google.com/maps/place/?q=place_id:ChIJk5uBjN6aXjkR3XFSwrafzrQ" TargetMode="External"/><Relationship Id="rId50" Type="http://schemas.openxmlformats.org/officeDocument/2006/relationships/hyperlink" Target="https://www.google.com/maps/place/?q=place_id:ChIJKR1rrouEXjkRceBsiuClM68" TargetMode="External"/><Relationship Id="rId55" Type="http://schemas.openxmlformats.org/officeDocument/2006/relationships/hyperlink" Target="https://indianarchery.org/" TargetMode="External"/><Relationship Id="rId7" Type="http://schemas.openxmlformats.org/officeDocument/2006/relationships/hyperlink" Target="https://amd.sgvp.org/" TargetMode="External"/><Relationship Id="rId2" Type="http://schemas.openxmlformats.org/officeDocument/2006/relationships/hyperlink" Target="https://www.google.com/maps/place/?q=place_id:ChIJYX5KuiObXjkRfFu0TPe9r7s" TargetMode="External"/><Relationship Id="rId16" Type="http://schemas.openxmlformats.org/officeDocument/2006/relationships/hyperlink" Target="https://www.google.com/maps/place/?q=place_id:ChIJhcqxxu-HXjkRaMlQrFnvlwc" TargetMode="External"/><Relationship Id="rId29" Type="http://schemas.openxmlformats.org/officeDocument/2006/relationships/hyperlink" Target="https://api.indianarchery.info/uploads/images/img1765437562523.pdf" TargetMode="External"/><Relationship Id="rId11" Type="http://schemas.openxmlformats.org/officeDocument/2006/relationships/hyperlink" Target="https://www.google.com/maps/place/?q=place_id:ChIJq6rqYO2DXjkRqrMs7Qvy7Ow" TargetMode="External"/><Relationship Id="rId24" Type="http://schemas.openxmlformats.org/officeDocument/2006/relationships/hyperlink" Target="https://www.google.com/maps/place/?q=place_id:ChIJyRjeUQCHXjkRPQJiFwCdYP8" TargetMode="External"/><Relationship Id="rId32" Type="http://schemas.openxmlformats.org/officeDocument/2006/relationships/hyperlink" Target="https://karnavaticlub.com/" TargetMode="External"/><Relationship Id="rId37" Type="http://schemas.openxmlformats.org/officeDocument/2006/relationships/hyperlink" Target="https://www.google.com/maps/place/?q=place_id:ChIJu-zh386FXjkRSe3b7S2DC-c" TargetMode="External"/><Relationship Id="rId40" Type="http://schemas.openxmlformats.org/officeDocument/2006/relationships/hyperlink" Target="https://www.justdial.com/Ahmedabad/Archery-Classes/nct-10019921" TargetMode="External"/><Relationship Id="rId45" Type="http://schemas.openxmlformats.org/officeDocument/2006/relationships/hyperlink" Target="https://sportsplus.in/showview/643" TargetMode="External"/><Relationship Id="rId53" Type="http://schemas.openxmlformats.org/officeDocument/2006/relationships/hyperlink" Target="https://www.justdial.com/Ahmedabad/Archery-Coach/nct-11616336" TargetMode="External"/><Relationship Id="rId5" Type="http://schemas.openxmlformats.org/officeDocument/2006/relationships/hyperlink" Target="https://www.google.com/maps/place/?q=place_id:ChIJDWkW7r-FXjkRmkahc-soeHQ" TargetMode="External"/><Relationship Id="rId10" Type="http://schemas.openxmlformats.org/officeDocument/2006/relationships/hyperlink" Target="https://risingsportsacademy.com/" TargetMode="External"/><Relationship Id="rId19" Type="http://schemas.openxmlformats.org/officeDocument/2006/relationships/hyperlink" Target="https://www.google.com/maps/place/?q=place_id:ChIJ_z2P2C-BXjkRjrrCY1i8wDE" TargetMode="External"/><Relationship Id="rId31" Type="http://schemas.openxmlformats.org/officeDocument/2006/relationships/hyperlink" Target="https://www.google.com/maps/place/?q=place_id:ChIJSXVGsiSbXjkRTjpTTSIENdM" TargetMode="External"/><Relationship Id="rId44" Type="http://schemas.openxmlformats.org/officeDocument/2006/relationships/hyperlink" Target="https://www.google.com/maps/place/?q=place_id:ChIJy-2mu--DXjkRp-C_KeXK4U0" TargetMode="External"/><Relationship Id="rId52" Type="http://schemas.openxmlformats.org/officeDocument/2006/relationships/hyperlink" Target="http://www.cstsportsraj.in/" TargetMode="External"/><Relationship Id="rId4" Type="http://schemas.openxmlformats.org/officeDocument/2006/relationships/hyperlink" Target="https://www.gujaratuniversity.ac.in/" TargetMode="External"/><Relationship Id="rId9" Type="http://schemas.openxmlformats.org/officeDocument/2006/relationships/hyperlink" Target="https://amd.sgvp.org/beyond-academics/sports/" TargetMode="External"/><Relationship Id="rId14" Type="http://schemas.openxmlformats.org/officeDocument/2006/relationships/hyperlink" Target="https://www.justdial.com/Ahmedabad/Kankaria-Target-Archery-Kankaria/079PXX79-XX79-200701214845-J5W6_BZDET" TargetMode="External"/><Relationship Id="rId22" Type="http://schemas.openxmlformats.org/officeDocument/2006/relationships/hyperlink" Target="https://www.google.com/maps/place/?q=place_id:ChIJxZg1abCHXjkRS_IzUTBeg04" TargetMode="External"/><Relationship Id="rId27" Type="http://schemas.openxmlformats.org/officeDocument/2006/relationships/hyperlink" Target="https://www.google.com/maps/place/?q=place_id:ChIJ3wNL7VaHXjkRGDqBYB5sDns" TargetMode="External"/><Relationship Id="rId30" Type="http://schemas.openxmlformats.org/officeDocument/2006/relationships/hyperlink" Target="https://karnavaticlub.com/" TargetMode="External"/><Relationship Id="rId35" Type="http://schemas.openxmlformats.org/officeDocument/2006/relationships/hyperlink" Target="https://www.rajpathclub.com/" TargetMode="External"/><Relationship Id="rId43" Type="http://schemas.openxmlformats.org/officeDocument/2006/relationships/hyperlink" Target="http://www.racquetacademy.in/" TargetMode="External"/><Relationship Id="rId48" Type="http://schemas.openxmlformats.org/officeDocument/2006/relationships/hyperlink" Target="https://ymcaic.com/" TargetMode="External"/><Relationship Id="rId56" Type="http://schemas.openxmlformats.org/officeDocument/2006/relationships/table" Target="../tables/table12.xml"/><Relationship Id="rId8" Type="http://schemas.openxmlformats.org/officeDocument/2006/relationships/hyperlink" Target="https://www.google.com/maps/place/?q=place_id:ChIJS5uO4-qCXjkRFuYBTAM-RUg" TargetMode="External"/><Relationship Id="rId51" Type="http://schemas.openxmlformats.org/officeDocument/2006/relationships/hyperlink" Target="https://www.sportsclub-gujarat.com/" TargetMode="External"/><Relationship Id="rId3" Type="http://schemas.openxmlformats.org/officeDocument/2006/relationships/hyperlink" Target="https://www.sanskardham.org/sports/" TargetMode="External"/><Relationship Id="rId12" Type="http://schemas.openxmlformats.org/officeDocument/2006/relationships/hyperlink" Target="https://risingsportsacademy.com/archery-coaching.html" TargetMode="External"/><Relationship Id="rId17" Type="http://schemas.openxmlformats.org/officeDocument/2006/relationships/hyperlink" Target="https://sportsauthorityofgujarat.in/" TargetMode="External"/><Relationship Id="rId25" Type="http://schemas.openxmlformats.org/officeDocument/2006/relationships/hyperlink" Target="https://www.google.com/maps/place/?q=place_id:ChIJyRjeUQCHXjkRPQJiFwCdYP8" TargetMode="External"/><Relationship Id="rId33" Type="http://schemas.openxmlformats.org/officeDocument/2006/relationships/hyperlink" Target="https://www.rajpathclub.com/" TargetMode="External"/><Relationship Id="rId38" Type="http://schemas.openxmlformats.org/officeDocument/2006/relationships/hyperlink" Target="https://www.ekaclub.net/" TargetMode="External"/><Relationship Id="rId46" Type="http://schemas.openxmlformats.org/officeDocument/2006/relationships/hyperlink" Target="https://ymcaic.com/" TargetMode="External"/><Relationship Id="rId20" Type="http://schemas.openxmlformats.org/officeDocument/2006/relationships/hyperlink" Target="http://www.gujaratshooting.com/" TargetMode="External"/><Relationship Id="rId41" Type="http://schemas.openxmlformats.org/officeDocument/2006/relationships/hyperlink" Target="http://www.racquetacademy.in/" TargetMode="External"/><Relationship Id="rId54" Type="http://schemas.openxmlformats.org/officeDocument/2006/relationships/hyperlink" Target="https://indianarchery.org/" TargetMode="External"/><Relationship Id="rId1" Type="http://schemas.openxmlformats.org/officeDocument/2006/relationships/hyperlink" Target="https://www.sanskardham.org/" TargetMode="External"/><Relationship Id="rId6" Type="http://schemas.openxmlformats.org/officeDocument/2006/relationships/hyperlink" Target="https://www.gujaratuniversity.ac.in/OlympicStandardSportsActivities" TargetMode="External"/><Relationship Id="rId15" Type="http://schemas.openxmlformats.org/officeDocument/2006/relationships/hyperlink" Target="https://sportsauthorityofgujarat.in/" TargetMode="External"/><Relationship Id="rId23" Type="http://schemas.openxmlformats.org/officeDocument/2006/relationships/hyperlink" Target="https://www.instagram.com/athletes_sports_academy007/" TargetMode="External"/><Relationship Id="rId28" Type="http://schemas.openxmlformats.org/officeDocument/2006/relationships/hyperlink" Target="https://indianarchery.org/" TargetMode="External"/><Relationship Id="rId36" Type="http://schemas.openxmlformats.org/officeDocument/2006/relationships/hyperlink" Target="https://www.ekaclub.net/" TargetMode="External"/><Relationship Id="rId49" Type="http://schemas.openxmlformats.org/officeDocument/2006/relationships/hyperlink" Target="https://www.sportsclub-gujarat.com/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gujaratshooting.com/" TargetMode="External"/><Relationship Id="rId18" Type="http://schemas.openxmlformats.org/officeDocument/2006/relationships/hyperlink" Target="https://maps.google.com/?cid=9122394747065970838" TargetMode="External"/><Relationship Id="rId26" Type="http://schemas.openxmlformats.org/officeDocument/2006/relationships/hyperlink" Target="https://mitr.co.in/ngos/airgun-and-slingshot-association-of-gujarati" TargetMode="External"/><Relationship Id="rId39" Type="http://schemas.openxmlformats.org/officeDocument/2006/relationships/hyperlink" Target="https://www.google.com/maps/place/?q=place_id:ChIJ34EbysGFXjkRimZYaRgU8pA" TargetMode="External"/><Relationship Id="rId21" Type="http://schemas.openxmlformats.org/officeDocument/2006/relationships/hyperlink" Target="http://www.arasa.in/" TargetMode="External"/><Relationship Id="rId34" Type="http://schemas.openxmlformats.org/officeDocument/2006/relationships/hyperlink" Target="https://www.gsra.in/" TargetMode="External"/><Relationship Id="rId42" Type="http://schemas.openxmlformats.org/officeDocument/2006/relationships/hyperlink" Target="https://www.google.com/maps/place/?q=place_id:ChIJ208rv2-BXjkRwpnCCrqzOLM" TargetMode="External"/><Relationship Id="rId47" Type="http://schemas.openxmlformats.org/officeDocument/2006/relationships/hyperlink" Target="https://www.google.com/maps/place/?q=place_id:ChIJ63dHbSiFXjkRiB-cBgThRA4" TargetMode="External"/><Relationship Id="rId50" Type="http://schemas.openxmlformats.org/officeDocument/2006/relationships/hyperlink" Target="https://www.google.com/maps/place/?q=place_id:ChIJ5-ck9hSbXjkRxuY7kgIUOl0" TargetMode="External"/><Relationship Id="rId7" Type="http://schemas.openxmlformats.org/officeDocument/2006/relationships/hyperlink" Target="http://www.theadra.in/" TargetMode="External"/><Relationship Id="rId2" Type="http://schemas.openxmlformats.org/officeDocument/2006/relationships/hyperlink" Target="https://www.rifleclubahmedabad.com/" TargetMode="External"/><Relationship Id="rId16" Type="http://schemas.openxmlformats.org/officeDocument/2006/relationships/hyperlink" Target="http://www.theadra.in/" TargetMode="External"/><Relationship Id="rId29" Type="http://schemas.openxmlformats.org/officeDocument/2006/relationships/hyperlink" Target="https://dpsbopal-ahd.edu.in/achievements/rifle-shooting/" TargetMode="External"/><Relationship Id="rId11" Type="http://schemas.openxmlformats.org/officeDocument/2006/relationships/hyperlink" Target="https://www.gunforglory.in/" TargetMode="External"/><Relationship Id="rId24" Type="http://schemas.openxmlformats.org/officeDocument/2006/relationships/hyperlink" Target="https://swaraajsports.com/" TargetMode="External"/><Relationship Id="rId32" Type="http://schemas.openxmlformats.org/officeDocument/2006/relationships/hyperlink" Target="https://www.shantiasiaticahmedabad.com/" TargetMode="External"/><Relationship Id="rId37" Type="http://schemas.openxmlformats.org/officeDocument/2006/relationships/hyperlink" Target="https://www.google.com/maps/place/?q=place_id:ChIJl1KZo_GEXjkR5vDA9i2upck" TargetMode="External"/><Relationship Id="rId40" Type="http://schemas.openxmlformats.org/officeDocument/2006/relationships/hyperlink" Target="https://www.google.com/maps/place/?q=place_id:ChIJRz9VqfeZXjkRmIz3n65BMZo" TargetMode="External"/><Relationship Id="rId45" Type="http://schemas.openxmlformats.org/officeDocument/2006/relationships/hyperlink" Target="https://www.google.com/maps/place/?q=place_id:ChIJpwFQb8dhXjkRNdE5V3tVvGY" TargetMode="External"/><Relationship Id="rId53" Type="http://schemas.openxmlformats.org/officeDocument/2006/relationships/table" Target="../tables/table13.xml"/><Relationship Id="rId5" Type="http://schemas.openxmlformats.org/officeDocument/2006/relationships/hyperlink" Target="https://www.theadra.in/" TargetMode="External"/><Relationship Id="rId10" Type="http://schemas.openxmlformats.org/officeDocument/2006/relationships/hyperlink" Target="https://www.rajputsportsacademy.com/" TargetMode="External"/><Relationship Id="rId19" Type="http://schemas.openxmlformats.org/officeDocument/2006/relationships/hyperlink" Target="http://www.wellocity.com/facility-project-1.html" TargetMode="External"/><Relationship Id="rId31" Type="http://schemas.openxmlformats.org/officeDocument/2006/relationships/hyperlink" Target="https://www.shantiasiaticahmedabad.com/" TargetMode="External"/><Relationship Id="rId44" Type="http://schemas.openxmlformats.org/officeDocument/2006/relationships/hyperlink" Target="https://www.google.com/maps/place/?q=place_id:ChIJm49AiKKcXjkRDKtUOxk2Ijs" TargetMode="External"/><Relationship Id="rId52" Type="http://schemas.openxmlformats.org/officeDocument/2006/relationships/hyperlink" Target="https://www.google.com/maps/place/?q=place_id:ChIJVXQiY1yEXjkRa_XgwcfS_AI" TargetMode="External"/><Relationship Id="rId4" Type="http://schemas.openxmlformats.org/officeDocument/2006/relationships/hyperlink" Target="https://www.racquetacademy.in/service-page/rifle-shooting" TargetMode="External"/><Relationship Id="rId9" Type="http://schemas.openxmlformats.org/officeDocument/2006/relationships/hyperlink" Target="https://www.rajputsportsacademy.com/" TargetMode="External"/><Relationship Id="rId14" Type="http://schemas.openxmlformats.org/officeDocument/2006/relationships/hyperlink" Target="http://www.gujaratshooting.com/" TargetMode="External"/><Relationship Id="rId22" Type="http://schemas.openxmlformats.org/officeDocument/2006/relationships/hyperlink" Target="http://www.arasa.in/" TargetMode="External"/><Relationship Id="rId27" Type="http://schemas.openxmlformats.org/officeDocument/2006/relationships/hyperlink" Target="https://mitr.co.in/ngos/airgun-and-slingshot-association-of-gujarati" TargetMode="External"/><Relationship Id="rId30" Type="http://schemas.openxmlformats.org/officeDocument/2006/relationships/hyperlink" Target="https://dpsbopal-ahd.edu.in/" TargetMode="External"/><Relationship Id="rId35" Type="http://schemas.openxmlformats.org/officeDocument/2006/relationships/hyperlink" Target="https://www.gsra.in/" TargetMode="External"/><Relationship Id="rId43" Type="http://schemas.openxmlformats.org/officeDocument/2006/relationships/hyperlink" Target="https://www.google.com/maps/place/?q=place_id:ChIJ2SDDLKkrXDkRltB33Y7kHp4" TargetMode="External"/><Relationship Id="rId48" Type="http://schemas.openxmlformats.org/officeDocument/2006/relationships/hyperlink" Target="https://www.google.com/maps/place/?q=place_id:ChIJ6xAIahWHXjkRpjdx0jJJ-TA" TargetMode="External"/><Relationship Id="rId8" Type="http://schemas.openxmlformats.org/officeDocument/2006/relationships/hyperlink" Target="http://www.theadra.in/" TargetMode="External"/><Relationship Id="rId51" Type="http://schemas.openxmlformats.org/officeDocument/2006/relationships/hyperlink" Target="https://www.google.com/maps/place/?q=place_id:ChIJxy6HYHWbXjkR2lBct3kCYeY" TargetMode="External"/><Relationship Id="rId3" Type="http://schemas.openxmlformats.org/officeDocument/2006/relationships/hyperlink" Target="https://www.racquetacademy.in/service-page/rifle-shooting" TargetMode="External"/><Relationship Id="rId12" Type="http://schemas.openxmlformats.org/officeDocument/2006/relationships/hyperlink" Target="https://www.gunforglory.in/" TargetMode="External"/><Relationship Id="rId17" Type="http://schemas.openxmlformats.org/officeDocument/2006/relationships/hyperlink" Target="http://www.theadra.in/" TargetMode="External"/><Relationship Id="rId25" Type="http://schemas.openxmlformats.org/officeDocument/2006/relationships/hyperlink" Target="https://maps.google.com/?cid=10332857476839350152" TargetMode="External"/><Relationship Id="rId33" Type="http://schemas.openxmlformats.org/officeDocument/2006/relationships/hyperlink" Target="https://maps.google.com/?cid=16584285880479142106" TargetMode="External"/><Relationship Id="rId38" Type="http://schemas.openxmlformats.org/officeDocument/2006/relationships/hyperlink" Target="https://www.google.com/maps/place/?q=place_id:ChIJiWzgvr-HXjkR9KsQ5D5Fnuw" TargetMode="External"/><Relationship Id="rId46" Type="http://schemas.openxmlformats.org/officeDocument/2006/relationships/hyperlink" Target="https://www.google.com/maps/place/?q=place_id:ChIJG6aZFh6DXjkRYTc2ioMcUiM" TargetMode="External"/><Relationship Id="rId20" Type="http://schemas.openxmlformats.org/officeDocument/2006/relationships/hyperlink" Target="http://www.wellocity.com/facility-project-1.html" TargetMode="External"/><Relationship Id="rId41" Type="http://schemas.openxmlformats.org/officeDocument/2006/relationships/hyperlink" Target="https://www.google.com/maps/place/?q=place_id:ChIJ_z2P2C-BXjkRjrrCY1i8wDE" TargetMode="External"/><Relationship Id="rId1" Type="http://schemas.openxmlformats.org/officeDocument/2006/relationships/hyperlink" Target="https://www.rifleclubahmedabad.com/" TargetMode="External"/><Relationship Id="rId6" Type="http://schemas.openxmlformats.org/officeDocument/2006/relationships/hyperlink" Target="https://www.theadra.in/" TargetMode="External"/><Relationship Id="rId15" Type="http://schemas.openxmlformats.org/officeDocument/2006/relationships/hyperlink" Target="https://maps.google.com/?cid=12920275815598692770" TargetMode="External"/><Relationship Id="rId23" Type="http://schemas.openxmlformats.org/officeDocument/2006/relationships/hyperlink" Target="https://swaraajsports.com/" TargetMode="External"/><Relationship Id="rId28" Type="http://schemas.openxmlformats.org/officeDocument/2006/relationships/hyperlink" Target="https://www.justdial.com/Ahmedabad/Asea-Multi-Sports-Academy-Nikol-Fire-Station-Oppnikol-D-Mart-Nikol-Gam/079PXX79-XX79-150925202340-M7T2_BZDET" TargetMode="External"/><Relationship Id="rId36" Type="http://schemas.openxmlformats.org/officeDocument/2006/relationships/hyperlink" Target="https://www.google.com/maps/place/?q=place_id:ChIJVXQiY1yEXjkRa_XgwcfS_AI" TargetMode="External"/><Relationship Id="rId49" Type="http://schemas.openxmlformats.org/officeDocument/2006/relationships/hyperlink" Target="https://www.google.com/maps/place/?q=place_id:ChIJMYVc6o6bXjkRYR_w3UeTNag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iscover.lyfskills.com/listing/26706" TargetMode="External"/><Relationship Id="rId21" Type="http://schemas.openxmlformats.org/officeDocument/2006/relationships/hyperlink" Target="http://www.acetennisacademy.in/" TargetMode="External"/><Relationship Id="rId42" Type="http://schemas.openxmlformats.org/officeDocument/2006/relationships/hyperlink" Target="https://www.google.com/maps/search/?api=1&amp;query=Advait+Sports+South+Bopal+Ahmedabad" TargetMode="External"/><Relationship Id="rId63" Type="http://schemas.openxmlformats.org/officeDocument/2006/relationships/hyperlink" Target="https://rhkapadiasportsacademy.com/" TargetMode="External"/><Relationship Id="rId84" Type="http://schemas.openxmlformats.org/officeDocument/2006/relationships/hyperlink" Target="https://www.instagram.com/sportsclubofgujarat/" TargetMode="External"/><Relationship Id="rId138" Type="http://schemas.openxmlformats.org/officeDocument/2006/relationships/hyperlink" Target="https://www.instagram.com/savvyswaraajsportsclub/" TargetMode="External"/><Relationship Id="rId159" Type="http://schemas.openxmlformats.org/officeDocument/2006/relationships/hyperlink" Target="https://www.google.com/maps/search/?api=1&amp;query=R+P+Vasani+International+School+New+Naroda+Ahmedabad" TargetMode="External"/><Relationship Id="rId170" Type="http://schemas.openxmlformats.org/officeDocument/2006/relationships/hyperlink" Target="https://www.instagram.com/aekumsportsacademy/" TargetMode="External"/><Relationship Id="rId107" Type="http://schemas.openxmlformats.org/officeDocument/2006/relationships/hyperlink" Target="https://discover.lyfskills.com/facilities/4070" TargetMode="External"/><Relationship Id="rId11" Type="http://schemas.openxmlformats.org/officeDocument/2006/relationships/hyperlink" Target="https://www.google.com/maps/search/?api=1&amp;query=Shaishya+Tennis+Academy+Makarba+Ahmedabad" TargetMode="External"/><Relationship Id="rId32" Type="http://schemas.openxmlformats.org/officeDocument/2006/relationships/hyperlink" Target="https://sragtennis.com/" TargetMode="External"/><Relationship Id="rId53" Type="http://schemas.openxmlformats.org/officeDocument/2006/relationships/hyperlink" Target="https://www.google.com/maps/search/?api=1&amp;query=Neon+Sports+Academy+Science+City+Thaltej+Ahmedabad" TargetMode="External"/><Relationship Id="rId74" Type="http://schemas.openxmlformats.org/officeDocument/2006/relationships/hyperlink" Target="https://gulmohargreens.com/" TargetMode="External"/><Relationship Id="rId128" Type="http://schemas.openxmlformats.org/officeDocument/2006/relationships/hyperlink" Target="https://www.google.com/maps/search/?api=1&amp;query=GK+Tennis+Academy+TP+44+Chandkheda+Ahmedabad" TargetMode="External"/><Relationship Id="rId149" Type="http://schemas.openxmlformats.org/officeDocument/2006/relationships/hyperlink" Target="https://www.google.com/maps/search/?api=1&amp;query=The+Belvedere+Golf+and+Country+Club+Adani+Shantigram+Ahmedabad" TargetMode="External"/><Relationship Id="rId5" Type="http://schemas.openxmlformats.org/officeDocument/2006/relationships/hyperlink" Target="https://srt10-altevol.com/" TargetMode="External"/><Relationship Id="rId95" Type="http://schemas.openxmlformats.org/officeDocument/2006/relationships/hyperlink" Target="https://www.google.com/maps/search/?api=1&amp;query=Rising+Star+Tennis+Academy+Satellite+Ahmedabad" TargetMode="External"/><Relationship Id="rId160" Type="http://schemas.openxmlformats.org/officeDocument/2006/relationships/hyperlink" Target="https://discover.lyfskills.com/listing/27422" TargetMode="External"/><Relationship Id="rId22" Type="http://schemas.openxmlformats.org/officeDocument/2006/relationships/hyperlink" Target="https://www.instagram.com/acetennisacademy/" TargetMode="External"/><Relationship Id="rId43" Type="http://schemas.openxmlformats.org/officeDocument/2006/relationships/hyperlink" Target="https://gsta.co.in/academy_controller/academy_dashboard1/10" TargetMode="External"/><Relationship Id="rId64" Type="http://schemas.openxmlformats.org/officeDocument/2006/relationships/hyperlink" Target="https://www.instagram.com/therhkapadiasports/" TargetMode="External"/><Relationship Id="rId118" Type="http://schemas.openxmlformats.org/officeDocument/2006/relationships/hyperlink" Target="https://www.instagram.com/tflsportsacademy/" TargetMode="External"/><Relationship Id="rId139" Type="http://schemas.openxmlformats.org/officeDocument/2006/relationships/hyperlink" Target="https://www.google.com/maps/search/?api=1&amp;query=Savvy+Swaraaj+Sports+Club+Gota+Ahmedabad" TargetMode="External"/><Relationship Id="rId85" Type="http://schemas.openxmlformats.org/officeDocument/2006/relationships/hyperlink" Target="https://www.google.com/maps/search/?api=1&amp;query=The+Sports+Club+of+Gujarat+Navrangpura+Ahmedabad" TargetMode="External"/><Relationship Id="rId150" Type="http://schemas.openxmlformats.org/officeDocument/2006/relationships/hyperlink" Target="https://www.adanirealty.com/commercial/the-belvedere-club" TargetMode="External"/><Relationship Id="rId171" Type="http://schemas.openxmlformats.org/officeDocument/2006/relationships/hyperlink" Target="https://www.google.com/maps/search/?api=1&amp;query=Aekum+Sports+Academy+Makarba+Ahmedabad" TargetMode="External"/><Relationship Id="rId12" Type="http://schemas.openxmlformats.org/officeDocument/2006/relationships/hyperlink" Target="https://www.shaishya.com/" TargetMode="External"/><Relationship Id="rId33" Type="http://schemas.openxmlformats.org/officeDocument/2006/relationships/hyperlink" Target="https://www.instagram.com/explore/locations/ageta-tennis-academy/" TargetMode="External"/><Relationship Id="rId108" Type="http://schemas.openxmlformats.org/officeDocument/2006/relationships/hyperlink" Target="https://cnvidyavihar.edu.in/institutions/special-institutes/sports-academy/" TargetMode="External"/><Relationship Id="rId129" Type="http://schemas.openxmlformats.org/officeDocument/2006/relationships/hyperlink" Target="https://www.bookmyplayer.com/tennis/gk-tennis-academy-%7C-top-tennis-academy-ahmedabad-academy-in-ahmedabad-gujarat-aid-11735" TargetMode="External"/><Relationship Id="rId54" Type="http://schemas.openxmlformats.org/officeDocument/2006/relationships/hyperlink" Target="http://www.neonsportsacademy.com/" TargetMode="External"/><Relationship Id="rId75" Type="http://schemas.openxmlformats.org/officeDocument/2006/relationships/hyperlink" Target="https://www.karnavaticlub.com/" TargetMode="External"/><Relationship Id="rId96" Type="http://schemas.openxmlformats.org/officeDocument/2006/relationships/hyperlink" Target="https://gsta.co.in/academy_controller/academy_dashboard1/27" TargetMode="External"/><Relationship Id="rId140" Type="http://schemas.openxmlformats.org/officeDocument/2006/relationships/hyperlink" Target="https://swaraajsports.com/" TargetMode="External"/><Relationship Id="rId161" Type="http://schemas.openxmlformats.org/officeDocument/2006/relationships/hyperlink" Target="https://sportsauthorityofgujarat.in/" TargetMode="External"/><Relationship Id="rId1" Type="http://schemas.openxmlformats.org/officeDocument/2006/relationships/hyperlink" Target="http://www.actf.co.in/" TargetMode="External"/><Relationship Id="rId6" Type="http://schemas.openxmlformats.org/officeDocument/2006/relationships/hyperlink" Target="https://www.instagram.com/srt10.altevol/" TargetMode="External"/><Relationship Id="rId23" Type="http://schemas.openxmlformats.org/officeDocument/2006/relationships/hyperlink" Target="https://www.google.com/maps/search/?api=1&amp;query=Ace+Tennis+Academy+Palodiya+Rancharda+Ahmedabad" TargetMode="External"/><Relationship Id="rId28" Type="http://schemas.openxmlformats.org/officeDocument/2006/relationships/hyperlink" Target="https://www.adanisportsline.com/en/academies" TargetMode="External"/><Relationship Id="rId49" Type="http://schemas.openxmlformats.org/officeDocument/2006/relationships/hyperlink" Target="https://www.google.com/maps/search/?api=1&amp;query=Neon+Sports+Academy+South+Bopal+Ahmedabad" TargetMode="External"/><Relationship Id="rId114" Type="http://schemas.openxmlformats.org/officeDocument/2006/relationships/hyperlink" Target="https://discover.lyfskills.com/listing/26615" TargetMode="External"/><Relationship Id="rId119" Type="http://schemas.openxmlformats.org/officeDocument/2006/relationships/hyperlink" Target="https://www.google.com/maps/search/?api=1&amp;query=TFL+Sports+Academy+Science+City+Shilaj+Road+Ahmedabad" TargetMode="External"/><Relationship Id="rId44" Type="http://schemas.openxmlformats.org/officeDocument/2006/relationships/hyperlink" Target="https://www.instagram.com/kabirtennisacademy/" TargetMode="External"/><Relationship Id="rId60" Type="http://schemas.openxmlformats.org/officeDocument/2006/relationships/hyperlink" Target="https://www.instagram.com/clubo7_official/" TargetMode="External"/><Relationship Id="rId65" Type="http://schemas.openxmlformats.org/officeDocument/2006/relationships/hyperlink" Target="https://www.google.com/maps/search/?api=1&amp;query=The+RH+Kapadia+Sports+Academy+Bopal+Ghuma+Road+Ahmedabad" TargetMode="External"/><Relationship Id="rId81" Type="http://schemas.openxmlformats.org/officeDocument/2006/relationships/hyperlink" Target="https://www.google.com/maps/search/?api=1&amp;query=Rajpath+Club+Bodakdev+SG+Highway+Ahmedabad" TargetMode="External"/><Relationship Id="rId86" Type="http://schemas.openxmlformats.org/officeDocument/2006/relationships/hyperlink" Target="https://www.sportsclub-gujarat.com/contact-us/" TargetMode="External"/><Relationship Id="rId130" Type="http://schemas.openxmlformats.org/officeDocument/2006/relationships/hyperlink" Target="https://www.instagram.com/lakshyasportsacademy/" TargetMode="External"/><Relationship Id="rId135" Type="http://schemas.openxmlformats.org/officeDocument/2006/relationships/hyperlink" Target="https://www.google.com/maps/search/?api=1&amp;query=SGVP+Surya+Sports+Academy+SG+Highway+Chharodi+Ahmedabad" TargetMode="External"/><Relationship Id="rId151" Type="http://schemas.openxmlformats.org/officeDocument/2006/relationships/hyperlink" Target="https://transstadiasports.com/transstadia-academies-sports/" TargetMode="External"/><Relationship Id="rId156" Type="http://schemas.openxmlformats.org/officeDocument/2006/relationships/hyperlink" Target="https://discover.lyfskills.com/listing/27518" TargetMode="External"/><Relationship Id="rId172" Type="http://schemas.openxmlformats.org/officeDocument/2006/relationships/hyperlink" Target="https://discover.lyfskills.com/facilities/4025" TargetMode="External"/><Relationship Id="rId13" Type="http://schemas.openxmlformats.org/officeDocument/2006/relationships/hyperlink" Target="http://www.racquetacademy.in/" TargetMode="External"/><Relationship Id="rId18" Type="http://schemas.openxmlformats.org/officeDocument/2006/relationships/hyperlink" Target="https://www.instagram.com/altitudetennisacademy/" TargetMode="External"/><Relationship Id="rId39" Type="http://schemas.openxmlformats.org/officeDocument/2006/relationships/hyperlink" Target="https://discover.lyfskills.com/classes/ahmedabad/in/university-area/tennis" TargetMode="External"/><Relationship Id="rId109" Type="http://schemas.openxmlformats.org/officeDocument/2006/relationships/hyperlink" Target="https://www.instagram.com/cnvidyavihar/" TargetMode="External"/><Relationship Id="rId34" Type="http://schemas.openxmlformats.org/officeDocument/2006/relationships/hyperlink" Target="https://www.google.com/maps/search/?api=1&amp;query=Ageta+Tennis+Academy+Gurukul+Road+Memnagar+Ahmedabad" TargetMode="External"/><Relationship Id="rId50" Type="http://schemas.openxmlformats.org/officeDocument/2006/relationships/hyperlink" Target="https://neonsportsacademy.com/" TargetMode="External"/><Relationship Id="rId55" Type="http://schemas.openxmlformats.org/officeDocument/2006/relationships/hyperlink" Target="https://meetjoshitennisacademy.com/" TargetMode="External"/><Relationship Id="rId76" Type="http://schemas.openxmlformats.org/officeDocument/2006/relationships/hyperlink" Target="https://www.instagram.com/karnavaticlub_official/" TargetMode="External"/><Relationship Id="rId97" Type="http://schemas.openxmlformats.org/officeDocument/2006/relationships/hyperlink" Target="https://www.instagram.com/explore/locations/pita-tennis-academy/" TargetMode="External"/><Relationship Id="rId104" Type="http://schemas.openxmlformats.org/officeDocument/2006/relationships/hyperlink" Target="https://www.ranjittennis.com/" TargetMode="External"/><Relationship Id="rId120" Type="http://schemas.openxmlformats.org/officeDocument/2006/relationships/hyperlink" Target="https://gsta.co.in/landingPage/send_inquiry" TargetMode="External"/><Relationship Id="rId125" Type="http://schemas.openxmlformats.org/officeDocument/2006/relationships/hyperlink" Target="https://www.google.com/maps/search/?api=1&amp;query=Sweetspot+Tennis+Coaching+Center+New+CG+Road+Chandkheda+Ahmedabad" TargetMode="External"/><Relationship Id="rId141" Type="http://schemas.openxmlformats.org/officeDocument/2006/relationships/hyperlink" Target="https://www.ahmedabadcity.gov.in/" TargetMode="External"/><Relationship Id="rId146" Type="http://schemas.openxmlformats.org/officeDocument/2006/relationships/hyperlink" Target="https://magicpin.in/Ahmedabad/Sola/Fitness/Ab-Sports-Aacademy/store/2204854" TargetMode="External"/><Relationship Id="rId167" Type="http://schemas.openxmlformats.org/officeDocument/2006/relationships/hyperlink" Target="https://www.instagram.com/ahmedabadgymkhana/" TargetMode="External"/><Relationship Id="rId7" Type="http://schemas.openxmlformats.org/officeDocument/2006/relationships/hyperlink" Target="https://www.google.com/maps/search/?api=1&amp;query=SRT10+Altevol+Centre+of+Excellence+Gota+Ahmedabad" TargetMode="External"/><Relationship Id="rId71" Type="http://schemas.openxmlformats.org/officeDocument/2006/relationships/hyperlink" Target="https://gulmohargreens.com/" TargetMode="External"/><Relationship Id="rId92" Type="http://schemas.openxmlformats.org/officeDocument/2006/relationships/hyperlink" Target="https://www.google.com/maps/search/?api=1&amp;query=Ahmedabad+International+Sports+Academy+Bodakdev+Ahmedabad" TargetMode="External"/><Relationship Id="rId162" Type="http://schemas.openxmlformats.org/officeDocument/2006/relationships/hyperlink" Target="https://www.instagram.com/sportsgujarat/" TargetMode="External"/><Relationship Id="rId2" Type="http://schemas.openxmlformats.org/officeDocument/2006/relationships/hyperlink" Target="https://www.instagram.com/explore/locations/255655498/ahmedabad-city-tennis-foundation/" TargetMode="External"/><Relationship Id="rId29" Type="http://schemas.openxmlformats.org/officeDocument/2006/relationships/hyperlink" Target="https://sragtennis.com/" TargetMode="External"/><Relationship Id="rId24" Type="http://schemas.openxmlformats.org/officeDocument/2006/relationships/hyperlink" Target="https://gsta.co.in/tournament/category/index/1866/106" TargetMode="External"/><Relationship Id="rId40" Type="http://schemas.openxmlformats.org/officeDocument/2006/relationships/hyperlink" Target="http://www.advaitsports.com/" TargetMode="External"/><Relationship Id="rId45" Type="http://schemas.openxmlformats.org/officeDocument/2006/relationships/hyperlink" Target="https://www.google.com/maps/search/?api=1&amp;query=Kabir+Sports+Academy+South+Bopal+Ahmedabad" TargetMode="External"/><Relationship Id="rId66" Type="http://schemas.openxmlformats.org/officeDocument/2006/relationships/hyperlink" Target="https://rhkapadiasportsacademy.com/" TargetMode="External"/><Relationship Id="rId87" Type="http://schemas.openxmlformats.org/officeDocument/2006/relationships/hyperlink" Target="https://ymcaic.com/" TargetMode="External"/><Relationship Id="rId110" Type="http://schemas.openxmlformats.org/officeDocument/2006/relationships/hyperlink" Target="https://www.google.com/maps/search/?api=1&amp;query=Sheth+CN+Vidyavihar+Ambawadi+Ahmedabad" TargetMode="External"/><Relationship Id="rId115" Type="http://schemas.openxmlformats.org/officeDocument/2006/relationships/hyperlink" Target="https://www.instagram.com/explore/locations/vihat-tennis-academy/" TargetMode="External"/><Relationship Id="rId131" Type="http://schemas.openxmlformats.org/officeDocument/2006/relationships/hyperlink" Target="https://www.google.com/maps/search/?api=1&amp;query=Lakshya+Sports+Academy+Godrej+Garden+City+Jagatpur+Ahmedabad" TargetMode="External"/><Relationship Id="rId136" Type="http://schemas.openxmlformats.org/officeDocument/2006/relationships/hyperlink" Target="http://sports.sgvp.org/" TargetMode="External"/><Relationship Id="rId157" Type="http://schemas.openxmlformats.org/officeDocument/2006/relationships/hyperlink" Target="https://www.google.com/maps/search/?api=1&amp;query=AMC+Tennis+Court+Shivam+Pushkar+Hill+Ramol+Ahmedabad" TargetMode="External"/><Relationship Id="rId61" Type="http://schemas.openxmlformats.org/officeDocument/2006/relationships/hyperlink" Target="https://www.google.com/maps/search/?api=1&amp;query=Club+O7+Shela+Ahmedabad" TargetMode="External"/><Relationship Id="rId82" Type="http://schemas.openxmlformats.org/officeDocument/2006/relationships/hyperlink" Target="https://rajpathclub.com/" TargetMode="External"/><Relationship Id="rId152" Type="http://schemas.openxmlformats.org/officeDocument/2006/relationships/hyperlink" Target="https://www.instagram.com/ekaclubahmedabad/" TargetMode="External"/><Relationship Id="rId173" Type="http://schemas.openxmlformats.org/officeDocument/2006/relationships/hyperlink" Target="https://pradipsportsacademy.com/" TargetMode="External"/><Relationship Id="rId19" Type="http://schemas.openxmlformats.org/officeDocument/2006/relationships/hyperlink" Target="https://www.google.com/maps/search/?api=1&amp;query=Altitude+Tennis+Academy+Shilaj+Road+Thaltej+Ahmedabad" TargetMode="External"/><Relationship Id="rId14" Type="http://schemas.openxmlformats.org/officeDocument/2006/relationships/hyperlink" Target="https://www.instagram.com/ahmedabadracquetacademy/" TargetMode="External"/><Relationship Id="rId30" Type="http://schemas.openxmlformats.org/officeDocument/2006/relationships/hyperlink" Target="https://www.instagram.com/explore/locations/101837494539169/srag-tennis-academy/" TargetMode="External"/><Relationship Id="rId35" Type="http://schemas.openxmlformats.org/officeDocument/2006/relationships/hyperlink" Target="https://discover.lyfskills.com/facilities/4070" TargetMode="External"/><Relationship Id="rId56" Type="http://schemas.openxmlformats.org/officeDocument/2006/relationships/hyperlink" Target="https://www.instagram.com/meetjoshitennisacademy/" TargetMode="External"/><Relationship Id="rId77" Type="http://schemas.openxmlformats.org/officeDocument/2006/relationships/hyperlink" Target="https://www.google.com/maps/search/?api=1&amp;query=Karnavati+Club+Sarkhej+Gandhinagar+Highway+Ahmedabad" TargetMode="External"/><Relationship Id="rId100" Type="http://schemas.openxmlformats.org/officeDocument/2006/relationships/hyperlink" Target="https://smashsports.in/" TargetMode="External"/><Relationship Id="rId105" Type="http://schemas.openxmlformats.org/officeDocument/2006/relationships/hyperlink" Target="https://www.instagram.com/explore/locations/navrang-tennis-academy/" TargetMode="External"/><Relationship Id="rId126" Type="http://schemas.openxmlformats.org/officeDocument/2006/relationships/hyperlink" Target="https://playo.co/venues/chandkheda-ahmedabad/Sweetspot-tennis-coaching-center-Chandkheda-ahmedabad" TargetMode="External"/><Relationship Id="rId147" Type="http://schemas.openxmlformats.org/officeDocument/2006/relationships/hyperlink" Target="https://www.adanirealty.com/commercial/the-belvedere-club" TargetMode="External"/><Relationship Id="rId168" Type="http://schemas.openxmlformats.org/officeDocument/2006/relationships/hyperlink" Target="https://www.google.com/maps/search/?api=1&amp;query=The+Ahmedabad+Gymkhana+Club+Shahibaug+Ahmedabad" TargetMode="External"/><Relationship Id="rId8" Type="http://schemas.openxmlformats.org/officeDocument/2006/relationships/hyperlink" Target="https://altevol.com/" TargetMode="External"/><Relationship Id="rId51" Type="http://schemas.openxmlformats.org/officeDocument/2006/relationships/hyperlink" Target="http://www.neonsportsacademy.com/" TargetMode="External"/><Relationship Id="rId72" Type="http://schemas.openxmlformats.org/officeDocument/2006/relationships/hyperlink" Target="https://www.instagram.com/gulmohargreens/" TargetMode="External"/><Relationship Id="rId93" Type="http://schemas.openxmlformats.org/officeDocument/2006/relationships/hyperlink" Target="https://playasport.in/academies/a08ab316-b3cb-42a3-998a-31083a0a5a95/aisa-professional-tennis-coaching-and-training-center" TargetMode="External"/><Relationship Id="rId98" Type="http://schemas.openxmlformats.org/officeDocument/2006/relationships/hyperlink" Target="https://www.google.com/maps/search/?api=1&amp;query=PITA+Tennis+Academy+Prernatirth+Derasar+Road+Satellite+Ahmedabad" TargetMode="External"/><Relationship Id="rId121" Type="http://schemas.openxmlformats.org/officeDocument/2006/relationships/hyperlink" Target="https://www.instagram.com/evolution_tennis_academy/" TargetMode="External"/><Relationship Id="rId142" Type="http://schemas.openxmlformats.org/officeDocument/2006/relationships/hyperlink" Target="https://www.google.com/maps/search/?api=1&amp;query=AMC+Tennis+Court+Gayatri+Nagar+Chandlodiya+Ahmedabad" TargetMode="External"/><Relationship Id="rId163" Type="http://schemas.openxmlformats.org/officeDocument/2006/relationships/hyperlink" Target="https://www.google.com/maps/search/?api=1&amp;query=District+Sports+Complex+Khokhra+Circle+Maninagar+East+Ahmedabad" TargetMode="External"/><Relationship Id="rId3" Type="http://schemas.openxmlformats.org/officeDocument/2006/relationships/hyperlink" Target="https://www.google.com/maps/search/?api=1&amp;query=Ahmedabad+City+Tennis+Foundation+Navrangpura+Ahmedabad" TargetMode="External"/><Relationship Id="rId25" Type="http://schemas.openxmlformats.org/officeDocument/2006/relationships/hyperlink" Target="https://www.adanisportsline.com/en/academies" TargetMode="External"/><Relationship Id="rId46" Type="http://schemas.openxmlformats.org/officeDocument/2006/relationships/hyperlink" Target="https://gsta.co.in/academy_controller/academy_dashboard1/21" TargetMode="External"/><Relationship Id="rId67" Type="http://schemas.openxmlformats.org/officeDocument/2006/relationships/hyperlink" Target="https://vijayibharatsports.org/" TargetMode="External"/><Relationship Id="rId116" Type="http://schemas.openxmlformats.org/officeDocument/2006/relationships/hyperlink" Target="https://www.google.com/maps/search/?api=1&amp;query=St+Xaviers+Loyola+Hall+Ground+Naranpura+Ahmedabad" TargetMode="External"/><Relationship Id="rId137" Type="http://schemas.openxmlformats.org/officeDocument/2006/relationships/hyperlink" Target="https://swaraajsports.com/" TargetMode="External"/><Relationship Id="rId158" Type="http://schemas.openxmlformats.org/officeDocument/2006/relationships/hyperlink" Target="https://discover.lyfskills.com/listing/27927" TargetMode="External"/><Relationship Id="rId20" Type="http://schemas.openxmlformats.org/officeDocument/2006/relationships/hyperlink" Target="https://gsta.co.in/academy_controller/academy_dashboard1/10581" TargetMode="External"/><Relationship Id="rId41" Type="http://schemas.openxmlformats.org/officeDocument/2006/relationships/hyperlink" Target="https://www.instagram.com/advaitsports/" TargetMode="External"/><Relationship Id="rId62" Type="http://schemas.openxmlformats.org/officeDocument/2006/relationships/hyperlink" Target="https://clubo7.com/" TargetMode="External"/><Relationship Id="rId83" Type="http://schemas.openxmlformats.org/officeDocument/2006/relationships/hyperlink" Target="https://www.sportsclub-gujarat.com/" TargetMode="External"/><Relationship Id="rId88" Type="http://schemas.openxmlformats.org/officeDocument/2006/relationships/hyperlink" Target="https://www.instagram.com/ymcaahmedabad/" TargetMode="External"/><Relationship Id="rId111" Type="http://schemas.openxmlformats.org/officeDocument/2006/relationships/hyperlink" Target="https://cnvidyavihar.edu.in/institutions/special-institutes/sports-academy/" TargetMode="External"/><Relationship Id="rId132" Type="http://schemas.openxmlformats.org/officeDocument/2006/relationships/hyperlink" Target="https://playo.co/venues/jagatpur/lakshya-sports-academy-jagatpur-ahmedabad" TargetMode="External"/><Relationship Id="rId153" Type="http://schemas.openxmlformats.org/officeDocument/2006/relationships/hyperlink" Target="https://www.google.com/maps/search/?api=1&amp;query=EKA+Arena+by+TransStadia+Kankaria+Ahmedabad" TargetMode="External"/><Relationship Id="rId174" Type="http://schemas.openxmlformats.org/officeDocument/2006/relationships/hyperlink" Target="https://www.justdial.com/Ahmedabad/Pradip-Badminton-And-Tennis-Academy-Opposite-Shukan-Smile-City-Ranip/079PXX79-XX79-251223173819-R7Q1_BZDET" TargetMode="External"/><Relationship Id="rId15" Type="http://schemas.openxmlformats.org/officeDocument/2006/relationships/hyperlink" Target="https://www.google.com/maps/search/?api=1&amp;query=Ahmedabad+Racquet+Academy+Sindhu+Bhavan+Marg+Thaltej+Ahmedabad" TargetMode="External"/><Relationship Id="rId36" Type="http://schemas.openxmlformats.org/officeDocument/2006/relationships/hyperlink" Target="https://www.gujaratuniversity.ac.in/" TargetMode="External"/><Relationship Id="rId57" Type="http://schemas.openxmlformats.org/officeDocument/2006/relationships/hyperlink" Target="https://www.google.com/maps/search/?api=1&amp;query=Meet+Joshi+Tennis+Academy+Shela+Ahmedabad" TargetMode="External"/><Relationship Id="rId106" Type="http://schemas.openxmlformats.org/officeDocument/2006/relationships/hyperlink" Target="https://www.google.com/maps/search/?api=1&amp;query=Navrang+Tennis+Academy+Sundar+Nagar+Naranpura+Ahmedabad" TargetMode="External"/><Relationship Id="rId127" Type="http://schemas.openxmlformats.org/officeDocument/2006/relationships/hyperlink" Target="https://www.instagram.com/gktennisacademy/" TargetMode="External"/><Relationship Id="rId10" Type="http://schemas.openxmlformats.org/officeDocument/2006/relationships/hyperlink" Target="https://www.instagram.com/shaishyacademy/" TargetMode="External"/><Relationship Id="rId31" Type="http://schemas.openxmlformats.org/officeDocument/2006/relationships/hyperlink" Target="https://www.google.com/maps/search/?api=1&amp;query=SRAG+Tennis+Academy+Memnagar+Ahmedabad" TargetMode="External"/><Relationship Id="rId52" Type="http://schemas.openxmlformats.org/officeDocument/2006/relationships/hyperlink" Target="https://www.instagram.com/neonsportsacademy/" TargetMode="External"/><Relationship Id="rId73" Type="http://schemas.openxmlformats.org/officeDocument/2006/relationships/hyperlink" Target="https://www.google.com/maps/search/?api=1&amp;query=Gulmohar+Greens+Golf+and+Country+Club+Sanand+Ahmedabad" TargetMode="External"/><Relationship Id="rId78" Type="http://schemas.openxmlformats.org/officeDocument/2006/relationships/hyperlink" Target="https://www.karnavaticlub.com/" TargetMode="External"/><Relationship Id="rId94" Type="http://schemas.openxmlformats.org/officeDocument/2006/relationships/hyperlink" Target="https://www.instagram.com/risingstartennis/" TargetMode="External"/><Relationship Id="rId99" Type="http://schemas.openxmlformats.org/officeDocument/2006/relationships/hyperlink" Target="https://tenniskhelo.com/academy/pita-tennis-academy-ahmedabad-gujarat" TargetMode="External"/><Relationship Id="rId101" Type="http://schemas.openxmlformats.org/officeDocument/2006/relationships/hyperlink" Target="https://www.instagram.com/smashsportsacademy/" TargetMode="External"/><Relationship Id="rId122" Type="http://schemas.openxmlformats.org/officeDocument/2006/relationships/hyperlink" Target="https://www.google.com/maps/search/?api=1&amp;query=Evolution+Tennis+Academy+Motera+Ahmedabad" TargetMode="External"/><Relationship Id="rId143" Type="http://schemas.openxmlformats.org/officeDocument/2006/relationships/hyperlink" Target="https://www.ahmedabadcity.gov.in/" TargetMode="External"/><Relationship Id="rId148" Type="http://schemas.openxmlformats.org/officeDocument/2006/relationships/hyperlink" Target="https://www.instagram.com/thebelvedereclub/" TargetMode="External"/><Relationship Id="rId164" Type="http://schemas.openxmlformats.org/officeDocument/2006/relationships/hyperlink" Target="https://maps.google.com/?cid=5582386348911573076" TargetMode="External"/><Relationship Id="rId169" Type="http://schemas.openxmlformats.org/officeDocument/2006/relationships/hyperlink" Target="https://ahmedabadgymkhana.com/activities/" TargetMode="External"/><Relationship Id="rId4" Type="http://schemas.openxmlformats.org/officeDocument/2006/relationships/hyperlink" Target="https://www.ranjittennis.com/coaching-centers" TargetMode="External"/><Relationship Id="rId9" Type="http://schemas.openxmlformats.org/officeDocument/2006/relationships/hyperlink" Target="https://www.shaishya.com/" TargetMode="External"/><Relationship Id="rId26" Type="http://schemas.openxmlformats.org/officeDocument/2006/relationships/hyperlink" Target="https://www.instagram.com/adanisportsline/" TargetMode="External"/><Relationship Id="rId47" Type="http://schemas.openxmlformats.org/officeDocument/2006/relationships/hyperlink" Target="https://neonsportsacademy.com/" TargetMode="External"/><Relationship Id="rId68" Type="http://schemas.openxmlformats.org/officeDocument/2006/relationships/hyperlink" Target="https://www.instagram.com/vijayibharatfoundation/" TargetMode="External"/><Relationship Id="rId89" Type="http://schemas.openxmlformats.org/officeDocument/2006/relationships/hyperlink" Target="https://www.google.com/maps/search/?api=1&amp;query=YMCA+International+Centre+Sarkhej+Gandhinagar+Highway+Makarba+Ahmedabad" TargetMode="External"/><Relationship Id="rId112" Type="http://schemas.openxmlformats.org/officeDocument/2006/relationships/hyperlink" Target="https://www.instagram.com/explore/locations/yvhf-tennis/" TargetMode="External"/><Relationship Id="rId133" Type="http://schemas.openxmlformats.org/officeDocument/2006/relationships/hyperlink" Target="http://sports.sgvp.org/" TargetMode="External"/><Relationship Id="rId154" Type="http://schemas.openxmlformats.org/officeDocument/2006/relationships/hyperlink" Target="https://transstadiasports.com/transstadia-academies-sports/" TargetMode="External"/><Relationship Id="rId175" Type="http://schemas.openxmlformats.org/officeDocument/2006/relationships/table" Target="../tables/table14.xml"/><Relationship Id="rId16" Type="http://schemas.openxmlformats.org/officeDocument/2006/relationships/hyperlink" Target="http://www.racquetacademy.in/" TargetMode="External"/><Relationship Id="rId37" Type="http://schemas.openxmlformats.org/officeDocument/2006/relationships/hyperlink" Target="https://www.instagram.com/gujaratuniversity_official/" TargetMode="External"/><Relationship Id="rId58" Type="http://schemas.openxmlformats.org/officeDocument/2006/relationships/hyperlink" Target="https://meetjoshitennisacademy.com/" TargetMode="External"/><Relationship Id="rId79" Type="http://schemas.openxmlformats.org/officeDocument/2006/relationships/hyperlink" Target="https://rajpathclub.com/" TargetMode="External"/><Relationship Id="rId102" Type="http://schemas.openxmlformats.org/officeDocument/2006/relationships/hyperlink" Target="https://www.google.com/maps/search/?api=1&amp;query=Smash+Sports+Academy+Jodhpur+Village+Satellite+Ahmedabad" TargetMode="External"/><Relationship Id="rId123" Type="http://schemas.openxmlformats.org/officeDocument/2006/relationships/hyperlink" Target="https://playo.co/venues/ahmedabad/evolution-tennis-academy-motera-ahmedabad" TargetMode="External"/><Relationship Id="rId144" Type="http://schemas.openxmlformats.org/officeDocument/2006/relationships/hyperlink" Target="https://www.instagram.com/absportsacademy/" TargetMode="External"/><Relationship Id="rId90" Type="http://schemas.openxmlformats.org/officeDocument/2006/relationships/hyperlink" Target="https://ymcaic.com/" TargetMode="External"/><Relationship Id="rId165" Type="http://schemas.openxmlformats.org/officeDocument/2006/relationships/hyperlink" Target="https://www.facebook.com/100057035636993" TargetMode="External"/><Relationship Id="rId27" Type="http://schemas.openxmlformats.org/officeDocument/2006/relationships/hyperlink" Target="https://www.google.com/maps/search/?api=1&amp;query=Sabarmati+Riverfront+Sports+Park+Paldi+Ahmedabad" TargetMode="External"/><Relationship Id="rId48" Type="http://schemas.openxmlformats.org/officeDocument/2006/relationships/hyperlink" Target="https://www.instagram.com/neonsportsacademy/" TargetMode="External"/><Relationship Id="rId69" Type="http://schemas.openxmlformats.org/officeDocument/2006/relationships/hyperlink" Target="https://www.google.com/maps/search/?api=1&amp;query=Vijayi+Bharat+Sports+Academy+Sanskardham+Godhavi+Ahmedabad" TargetMode="External"/><Relationship Id="rId113" Type="http://schemas.openxmlformats.org/officeDocument/2006/relationships/hyperlink" Target="https://www.google.com/maps/search/?api=1&amp;query=Tennis+Coaching+Shahid+Veer+Kinariwala+Marg+Ellisbridge+Ahmedabad" TargetMode="External"/><Relationship Id="rId134" Type="http://schemas.openxmlformats.org/officeDocument/2006/relationships/hyperlink" Target="https://www.instagram.com/sgvpsuryasportsacademy/" TargetMode="External"/><Relationship Id="rId80" Type="http://schemas.openxmlformats.org/officeDocument/2006/relationships/hyperlink" Target="https://www.instagram.com/rajpathclubltd/" TargetMode="External"/><Relationship Id="rId155" Type="http://schemas.openxmlformats.org/officeDocument/2006/relationships/hyperlink" Target="https://www.google.com/maps/search/?api=1&amp;query=AMC+Tennis+Court+Sarita+Residency+Road+Nikol+Ahmedabad" TargetMode="External"/><Relationship Id="rId17" Type="http://schemas.openxmlformats.org/officeDocument/2006/relationships/hyperlink" Target="https://altitudetennisacademy.in/" TargetMode="External"/><Relationship Id="rId38" Type="http://schemas.openxmlformats.org/officeDocument/2006/relationships/hyperlink" Target="https://www.google.com/maps/search/?api=1&amp;query=Gujarat+University+Sports+Complex+Navrangpura+Ahmedabad" TargetMode="External"/><Relationship Id="rId59" Type="http://schemas.openxmlformats.org/officeDocument/2006/relationships/hyperlink" Target="https://clubo7.com/" TargetMode="External"/><Relationship Id="rId103" Type="http://schemas.openxmlformats.org/officeDocument/2006/relationships/hyperlink" Target="https://smashsports.in/" TargetMode="External"/><Relationship Id="rId124" Type="http://schemas.openxmlformats.org/officeDocument/2006/relationships/hyperlink" Target="https://www.instagram.com/sweetspot_tennis_academy/" TargetMode="External"/><Relationship Id="rId70" Type="http://schemas.openxmlformats.org/officeDocument/2006/relationships/hyperlink" Target="https://vijayibharatsports.org/" TargetMode="External"/><Relationship Id="rId91" Type="http://schemas.openxmlformats.org/officeDocument/2006/relationships/hyperlink" Target="https://www.instagram.com/explore/locations/aisa-sports-academy/" TargetMode="External"/><Relationship Id="rId145" Type="http://schemas.openxmlformats.org/officeDocument/2006/relationships/hyperlink" Target="https://www.google.com/maps/search/?api=1&amp;query=AB+Sports+Academy+Science+City+Sola+Ahmedabad" TargetMode="External"/><Relationship Id="rId166" Type="http://schemas.openxmlformats.org/officeDocument/2006/relationships/hyperlink" Target="https://ahmedabadgymkha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DBB6-72D6-4873-A5B7-07B0199A890B}">
  <dimension ref="A1:L70"/>
  <sheetViews>
    <sheetView topLeftCell="A64" workbookViewId="0">
      <selection activeCell="D78" sqref="D78"/>
    </sheetView>
  </sheetViews>
  <sheetFormatPr defaultRowHeight="14.5" x14ac:dyDescent="0.35"/>
  <cols>
    <col min="1" max="1" width="26.26953125" style="10" customWidth="1"/>
    <col min="3" max="3" width="17.36328125" customWidth="1"/>
    <col min="4" max="4" width="35.08984375" customWidth="1"/>
    <col min="5" max="5" width="14.36328125" customWidth="1"/>
    <col min="6" max="6" width="12.1796875" customWidth="1"/>
    <col min="7" max="9" width="15.7265625" customWidth="1"/>
    <col min="10" max="10" width="39.1796875" customWidth="1"/>
    <col min="11" max="11" width="17.7265625" customWidth="1"/>
    <col min="12" max="12" width="26.54296875" customWidth="1"/>
  </cols>
  <sheetData>
    <row r="1" spans="1:12" ht="15" thickBot="1" x14ac:dyDescent="0.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" t="s">
        <v>461</v>
      </c>
      <c r="I1" s="1" t="s">
        <v>282</v>
      </c>
      <c r="J1" s="12" t="s">
        <v>7</v>
      </c>
      <c r="K1" s="12" t="s">
        <v>8</v>
      </c>
      <c r="L1" s="13" t="s">
        <v>9</v>
      </c>
    </row>
    <row r="2" spans="1:12" ht="58.5" thickBot="1" x14ac:dyDescent="0.4">
      <c r="A2" s="14" t="s">
        <v>10</v>
      </c>
      <c r="B2" s="15" t="s">
        <v>11</v>
      </c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"/>
      <c r="I2" s="1"/>
      <c r="J2" s="16" t="s">
        <v>17</v>
      </c>
      <c r="K2" s="15" t="s">
        <v>454</v>
      </c>
      <c r="L2" s="17" t="s">
        <v>18</v>
      </c>
    </row>
    <row r="3" spans="1:12" ht="39" thickBot="1" x14ac:dyDescent="0.4">
      <c r="A3" s="14" t="s">
        <v>19</v>
      </c>
      <c r="B3" s="15" t="s">
        <v>11</v>
      </c>
      <c r="C3" s="15" t="s">
        <v>12</v>
      </c>
      <c r="D3" s="15" t="s">
        <v>20</v>
      </c>
      <c r="E3" s="15" t="s">
        <v>14</v>
      </c>
      <c r="F3" s="15" t="s">
        <v>15</v>
      </c>
      <c r="G3" s="15" t="s">
        <v>21</v>
      </c>
      <c r="H3" s="1" t="s">
        <v>462</v>
      </c>
      <c r="I3" s="2" t="s">
        <v>22</v>
      </c>
      <c r="J3" s="16" t="s">
        <v>22</v>
      </c>
      <c r="K3" s="15" t="s">
        <v>454</v>
      </c>
      <c r="L3" s="17" t="s">
        <v>23</v>
      </c>
    </row>
    <row r="4" spans="1:12" ht="39" thickBot="1" x14ac:dyDescent="0.4">
      <c r="A4" s="14" t="s">
        <v>24</v>
      </c>
      <c r="B4" s="15" t="s">
        <v>11</v>
      </c>
      <c r="C4" s="15" t="s">
        <v>25</v>
      </c>
      <c r="D4" s="15" t="s">
        <v>26</v>
      </c>
      <c r="E4" s="15" t="s">
        <v>14</v>
      </c>
      <c r="F4" s="15" t="s">
        <v>15</v>
      </c>
      <c r="G4" s="15" t="s">
        <v>27</v>
      </c>
      <c r="H4" s="1" t="s">
        <v>463</v>
      </c>
      <c r="I4" s="2" t="s">
        <v>28</v>
      </c>
      <c r="J4" s="16" t="s">
        <v>28</v>
      </c>
      <c r="K4" s="15" t="s">
        <v>454</v>
      </c>
      <c r="L4" s="17" t="s">
        <v>29</v>
      </c>
    </row>
    <row r="5" spans="1:12" ht="44" thickBot="1" x14ac:dyDescent="0.4">
      <c r="A5" s="14" t="s">
        <v>30</v>
      </c>
      <c r="B5" s="15" t="s">
        <v>11</v>
      </c>
      <c r="C5" s="15" t="s">
        <v>31</v>
      </c>
      <c r="D5" s="15" t="s">
        <v>32</v>
      </c>
      <c r="E5" s="15" t="s">
        <v>14</v>
      </c>
      <c r="F5" s="15" t="s">
        <v>15</v>
      </c>
      <c r="G5" s="15" t="s">
        <v>33</v>
      </c>
      <c r="H5" s="1"/>
      <c r="I5" s="1"/>
      <c r="J5" s="16" t="s">
        <v>34</v>
      </c>
      <c r="K5" s="15" t="s">
        <v>454</v>
      </c>
      <c r="L5" s="17" t="s">
        <v>18</v>
      </c>
    </row>
    <row r="6" spans="1:12" ht="73" thickBot="1" x14ac:dyDescent="0.4">
      <c r="A6" s="14" t="s">
        <v>35</v>
      </c>
      <c r="B6" s="15" t="s">
        <v>11</v>
      </c>
      <c r="C6" s="15" t="s">
        <v>12</v>
      </c>
      <c r="D6" s="15" t="s">
        <v>36</v>
      </c>
      <c r="E6" s="15" t="s">
        <v>37</v>
      </c>
      <c r="F6" s="15" t="s">
        <v>15</v>
      </c>
      <c r="G6" s="15" t="s">
        <v>38</v>
      </c>
      <c r="H6" s="1" t="s">
        <v>464</v>
      </c>
      <c r="I6" s="2" t="s">
        <v>39</v>
      </c>
      <c r="J6" s="16" t="s">
        <v>39</v>
      </c>
      <c r="K6" s="15" t="s">
        <v>454</v>
      </c>
      <c r="L6" s="17" t="s">
        <v>23</v>
      </c>
    </row>
    <row r="7" spans="1:12" ht="44" thickBot="1" x14ac:dyDescent="0.4">
      <c r="A7" s="14" t="s">
        <v>40</v>
      </c>
      <c r="B7" s="15" t="s">
        <v>11</v>
      </c>
      <c r="C7" s="15" t="s">
        <v>12</v>
      </c>
      <c r="D7" s="15" t="s">
        <v>41</v>
      </c>
      <c r="E7" s="15" t="s">
        <v>37</v>
      </c>
      <c r="F7" s="15" t="s">
        <v>15</v>
      </c>
      <c r="G7" s="15" t="s">
        <v>42</v>
      </c>
      <c r="H7" s="1" t="s">
        <v>465</v>
      </c>
      <c r="I7" s="2" t="s">
        <v>43</v>
      </c>
      <c r="J7" s="16" t="s">
        <v>43</v>
      </c>
      <c r="K7" s="15" t="s">
        <v>454</v>
      </c>
      <c r="L7" s="17" t="s">
        <v>23</v>
      </c>
    </row>
    <row r="8" spans="1:12" ht="44" thickBot="1" x14ac:dyDescent="0.4">
      <c r="A8" s="14" t="s">
        <v>44</v>
      </c>
      <c r="B8" s="15" t="s">
        <v>11</v>
      </c>
      <c r="C8" s="15" t="s">
        <v>25</v>
      </c>
      <c r="D8" s="15" t="s">
        <v>45</v>
      </c>
      <c r="E8" s="15" t="s">
        <v>37</v>
      </c>
      <c r="F8" s="15" t="s">
        <v>15</v>
      </c>
      <c r="G8" s="15" t="s">
        <v>46</v>
      </c>
      <c r="H8" s="1" t="s">
        <v>466</v>
      </c>
      <c r="I8" s="2" t="s">
        <v>47</v>
      </c>
      <c r="J8" s="16" t="s">
        <v>47</v>
      </c>
      <c r="K8" s="15" t="s">
        <v>454</v>
      </c>
      <c r="L8" s="17" t="s">
        <v>48</v>
      </c>
    </row>
    <row r="9" spans="1:12" ht="44" thickBot="1" x14ac:dyDescent="0.4">
      <c r="A9" s="14" t="s">
        <v>49</v>
      </c>
      <c r="B9" s="15" t="s">
        <v>11</v>
      </c>
      <c r="C9" s="15" t="s">
        <v>12</v>
      </c>
      <c r="D9" s="15" t="s">
        <v>50</v>
      </c>
      <c r="E9" s="15" t="s">
        <v>51</v>
      </c>
      <c r="F9" s="15" t="s">
        <v>15</v>
      </c>
      <c r="G9" s="15" t="s">
        <v>42</v>
      </c>
      <c r="H9" s="1" t="s">
        <v>465</v>
      </c>
      <c r="I9" s="2" t="s">
        <v>43</v>
      </c>
      <c r="J9" s="16" t="s">
        <v>43</v>
      </c>
      <c r="K9" s="15" t="s">
        <v>454</v>
      </c>
      <c r="L9" s="17" t="s">
        <v>23</v>
      </c>
    </row>
    <row r="10" spans="1:12" ht="39" thickBot="1" x14ac:dyDescent="0.4">
      <c r="A10" s="14" t="s">
        <v>52</v>
      </c>
      <c r="B10" s="15" t="s">
        <v>11</v>
      </c>
      <c r="C10" s="15" t="s">
        <v>12</v>
      </c>
      <c r="D10" s="15" t="s">
        <v>53</v>
      </c>
      <c r="E10" s="15" t="s">
        <v>54</v>
      </c>
      <c r="F10" s="15" t="s">
        <v>15</v>
      </c>
      <c r="G10" s="15" t="s">
        <v>55</v>
      </c>
      <c r="H10" s="1" t="s">
        <v>467</v>
      </c>
      <c r="I10" s="2" t="s">
        <v>56</v>
      </c>
      <c r="J10" s="16" t="s">
        <v>56</v>
      </c>
      <c r="K10" s="15" t="s">
        <v>454</v>
      </c>
      <c r="L10" s="17" t="s">
        <v>23</v>
      </c>
    </row>
    <row r="11" spans="1:12" ht="44" thickBot="1" x14ac:dyDescent="0.4">
      <c r="A11" s="14" t="s">
        <v>57</v>
      </c>
      <c r="B11" s="15" t="s">
        <v>11</v>
      </c>
      <c r="C11" s="15" t="s">
        <v>12</v>
      </c>
      <c r="D11" s="15" t="s">
        <v>58</v>
      </c>
      <c r="E11" s="15" t="s">
        <v>54</v>
      </c>
      <c r="F11" s="15" t="s">
        <v>15</v>
      </c>
      <c r="G11" s="15" t="s">
        <v>59</v>
      </c>
      <c r="H11" s="1" t="s">
        <v>468</v>
      </c>
      <c r="I11" s="2" t="s">
        <v>60</v>
      </c>
      <c r="J11" s="16" t="s">
        <v>60</v>
      </c>
      <c r="K11" s="15" t="s">
        <v>454</v>
      </c>
      <c r="L11" s="17" t="s">
        <v>23</v>
      </c>
    </row>
    <row r="12" spans="1:12" ht="44" thickBot="1" x14ac:dyDescent="0.4">
      <c r="A12" s="14" t="s">
        <v>61</v>
      </c>
      <c r="B12" s="15" t="s">
        <v>11</v>
      </c>
      <c r="C12" s="15" t="s">
        <v>25</v>
      </c>
      <c r="D12" s="15" t="s">
        <v>62</v>
      </c>
      <c r="E12" s="15" t="s">
        <v>54</v>
      </c>
      <c r="F12" s="15" t="s">
        <v>15</v>
      </c>
      <c r="G12" s="15" t="s">
        <v>63</v>
      </c>
      <c r="H12" s="1"/>
      <c r="I12" s="1"/>
      <c r="J12" s="16" t="s">
        <v>64</v>
      </c>
      <c r="K12" s="15" t="s">
        <v>454</v>
      </c>
      <c r="L12" s="17" t="s">
        <v>18</v>
      </c>
    </row>
    <row r="13" spans="1:12" ht="51.5" thickBot="1" x14ac:dyDescent="0.4">
      <c r="A13" s="14" t="s">
        <v>65</v>
      </c>
      <c r="B13" s="15" t="s">
        <v>11</v>
      </c>
      <c r="C13" s="15" t="s">
        <v>12</v>
      </c>
      <c r="D13" s="15" t="s">
        <v>66</v>
      </c>
      <c r="E13" s="15" t="s">
        <v>67</v>
      </c>
      <c r="F13" s="15" t="s">
        <v>15</v>
      </c>
      <c r="G13" s="15" t="s">
        <v>68</v>
      </c>
      <c r="H13" s="1" t="s">
        <v>469</v>
      </c>
      <c r="I13" s="2" t="s">
        <v>69</v>
      </c>
      <c r="J13" s="16" t="s">
        <v>69</v>
      </c>
      <c r="K13" s="15" t="s">
        <v>454</v>
      </c>
      <c r="L13" s="17" t="s">
        <v>23</v>
      </c>
    </row>
    <row r="14" spans="1:12" ht="51.5" thickBot="1" x14ac:dyDescent="0.4">
      <c r="A14" s="14" t="s">
        <v>70</v>
      </c>
      <c r="B14" s="15" t="s">
        <v>11</v>
      </c>
      <c r="C14" s="15" t="s">
        <v>12</v>
      </c>
      <c r="D14" s="15" t="s">
        <v>71</v>
      </c>
      <c r="E14" s="15" t="s">
        <v>72</v>
      </c>
      <c r="F14" s="15" t="s">
        <v>15</v>
      </c>
      <c r="G14" s="15" t="s">
        <v>73</v>
      </c>
      <c r="H14" s="1"/>
      <c r="I14" s="1"/>
      <c r="J14" s="16" t="s">
        <v>74</v>
      </c>
      <c r="K14" s="15" t="s">
        <v>454</v>
      </c>
      <c r="L14" s="17" t="s">
        <v>75</v>
      </c>
    </row>
    <row r="15" spans="1:12" ht="29.5" thickBot="1" x14ac:dyDescent="0.4">
      <c r="A15" s="14" t="s">
        <v>76</v>
      </c>
      <c r="B15" s="15" t="s">
        <v>11</v>
      </c>
      <c r="C15" s="15" t="s">
        <v>12</v>
      </c>
      <c r="D15" s="15" t="s">
        <v>77</v>
      </c>
      <c r="E15" s="15" t="s">
        <v>78</v>
      </c>
      <c r="F15" s="15" t="s">
        <v>15</v>
      </c>
      <c r="G15" s="15" t="s">
        <v>79</v>
      </c>
      <c r="H15" s="1"/>
      <c r="I15" s="1"/>
      <c r="J15" s="16" t="s">
        <v>80</v>
      </c>
      <c r="K15" s="15" t="s">
        <v>454</v>
      </c>
      <c r="L15" s="17" t="s">
        <v>18</v>
      </c>
    </row>
    <row r="16" spans="1:12" ht="39" thickBot="1" x14ac:dyDescent="0.4">
      <c r="A16" s="14" t="s">
        <v>81</v>
      </c>
      <c r="B16" s="15" t="s">
        <v>11</v>
      </c>
      <c r="C16" s="15" t="s">
        <v>82</v>
      </c>
      <c r="D16" s="15" t="s">
        <v>83</v>
      </c>
      <c r="E16" s="15" t="s">
        <v>78</v>
      </c>
      <c r="F16" s="15" t="s">
        <v>15</v>
      </c>
      <c r="G16" s="15" t="s">
        <v>84</v>
      </c>
      <c r="H16" s="1"/>
      <c r="I16" s="1"/>
      <c r="J16" s="16" t="s">
        <v>85</v>
      </c>
      <c r="K16" s="15" t="s">
        <v>454</v>
      </c>
      <c r="L16" s="17" t="s">
        <v>18</v>
      </c>
    </row>
    <row r="17" spans="1:12" ht="29.5" thickBot="1" x14ac:dyDescent="0.4">
      <c r="A17" s="14" t="s">
        <v>86</v>
      </c>
      <c r="B17" s="15" t="s">
        <v>11</v>
      </c>
      <c r="C17" s="15" t="s">
        <v>12</v>
      </c>
      <c r="D17" s="15" t="s">
        <v>87</v>
      </c>
      <c r="E17" s="15" t="s">
        <v>78</v>
      </c>
      <c r="F17" s="15" t="s">
        <v>15</v>
      </c>
      <c r="G17" s="15" t="s">
        <v>73</v>
      </c>
      <c r="H17" s="1"/>
      <c r="I17" s="1"/>
      <c r="J17" s="16" t="s">
        <v>85</v>
      </c>
      <c r="K17" s="15" t="s">
        <v>454</v>
      </c>
      <c r="L17" s="17" t="s">
        <v>88</v>
      </c>
    </row>
    <row r="18" spans="1:12" ht="51.5" thickBot="1" x14ac:dyDescent="0.4">
      <c r="A18" s="14" t="s">
        <v>89</v>
      </c>
      <c r="B18" s="15" t="s">
        <v>11</v>
      </c>
      <c r="C18" s="15" t="s">
        <v>12</v>
      </c>
      <c r="D18" s="15" t="s">
        <v>90</v>
      </c>
      <c r="E18" s="15" t="s">
        <v>91</v>
      </c>
      <c r="F18" s="15" t="s">
        <v>15</v>
      </c>
      <c r="G18" s="15" t="s">
        <v>92</v>
      </c>
      <c r="H18" s="1"/>
      <c r="I18" s="1"/>
      <c r="J18" s="16" t="s">
        <v>93</v>
      </c>
      <c r="K18" s="15" t="s">
        <v>454</v>
      </c>
      <c r="L18" s="18" t="s">
        <v>94</v>
      </c>
    </row>
    <row r="19" spans="1:12" ht="39" thickBot="1" x14ac:dyDescent="0.4">
      <c r="A19" s="14" t="s">
        <v>95</v>
      </c>
      <c r="B19" s="15" t="s">
        <v>11</v>
      </c>
      <c r="C19" s="15" t="s">
        <v>82</v>
      </c>
      <c r="D19" s="15" t="s">
        <v>96</v>
      </c>
      <c r="E19" s="15" t="s">
        <v>91</v>
      </c>
      <c r="F19" s="15" t="s">
        <v>15</v>
      </c>
      <c r="G19" s="15" t="s">
        <v>97</v>
      </c>
      <c r="H19" s="1" t="s">
        <v>470</v>
      </c>
      <c r="I19" s="2" t="s">
        <v>98</v>
      </c>
      <c r="J19" s="16" t="s">
        <v>98</v>
      </c>
      <c r="K19" s="15" t="s">
        <v>454</v>
      </c>
      <c r="L19" s="17" t="s">
        <v>23</v>
      </c>
    </row>
    <row r="20" spans="1:12" ht="44" thickBot="1" x14ac:dyDescent="0.4">
      <c r="A20" s="14" t="s">
        <v>99</v>
      </c>
      <c r="B20" s="15" t="s">
        <v>11</v>
      </c>
      <c r="C20" s="15" t="s">
        <v>12</v>
      </c>
      <c r="D20" s="15" t="s">
        <v>100</v>
      </c>
      <c r="E20" s="15" t="s">
        <v>91</v>
      </c>
      <c r="F20" s="15" t="s">
        <v>15</v>
      </c>
      <c r="G20" s="15"/>
      <c r="H20" s="1"/>
      <c r="I20" s="1"/>
      <c r="J20" s="16" t="s">
        <v>64</v>
      </c>
      <c r="K20" s="15" t="s">
        <v>455</v>
      </c>
      <c r="L20" s="17" t="s">
        <v>101</v>
      </c>
    </row>
    <row r="21" spans="1:12" ht="39" thickBot="1" x14ac:dyDescent="0.4">
      <c r="A21" s="14" t="s">
        <v>102</v>
      </c>
      <c r="B21" s="15" t="s">
        <v>11</v>
      </c>
      <c r="C21" s="15" t="s">
        <v>12</v>
      </c>
      <c r="D21" s="15" t="s">
        <v>103</v>
      </c>
      <c r="E21" s="15" t="s">
        <v>104</v>
      </c>
      <c r="F21" s="15" t="s">
        <v>15</v>
      </c>
      <c r="G21" s="15" t="s">
        <v>105</v>
      </c>
      <c r="H21" s="1"/>
      <c r="I21" s="1"/>
      <c r="J21" s="16" t="s">
        <v>106</v>
      </c>
      <c r="K21" s="15" t="s">
        <v>454</v>
      </c>
      <c r="L21" s="17" t="s">
        <v>18</v>
      </c>
    </row>
    <row r="22" spans="1:12" ht="29.5" thickBot="1" x14ac:dyDescent="0.4">
      <c r="A22" s="14" t="s">
        <v>107</v>
      </c>
      <c r="B22" s="15" t="s">
        <v>11</v>
      </c>
      <c r="C22" s="15" t="s">
        <v>12</v>
      </c>
      <c r="D22" s="15" t="s">
        <v>108</v>
      </c>
      <c r="E22" s="15" t="s">
        <v>104</v>
      </c>
      <c r="F22" s="15" t="s">
        <v>15</v>
      </c>
      <c r="G22" s="15" t="s">
        <v>109</v>
      </c>
      <c r="H22" s="1"/>
      <c r="I22" s="1"/>
      <c r="J22" s="16" t="s">
        <v>110</v>
      </c>
      <c r="K22" s="15" t="s">
        <v>454</v>
      </c>
      <c r="L22" s="17" t="s">
        <v>18</v>
      </c>
    </row>
    <row r="23" spans="1:12" ht="39" thickBot="1" x14ac:dyDescent="0.4">
      <c r="A23" s="14" t="s">
        <v>111</v>
      </c>
      <c r="B23" s="15" t="s">
        <v>11</v>
      </c>
      <c r="C23" s="15" t="s">
        <v>12</v>
      </c>
      <c r="D23" s="15" t="s">
        <v>112</v>
      </c>
      <c r="E23" s="15" t="s">
        <v>104</v>
      </c>
      <c r="F23" s="15" t="s">
        <v>15</v>
      </c>
      <c r="G23" s="15" t="s">
        <v>113</v>
      </c>
      <c r="H23" s="1"/>
      <c r="I23" s="1"/>
      <c r="J23" s="16" t="s">
        <v>114</v>
      </c>
      <c r="K23" s="15" t="s">
        <v>454</v>
      </c>
      <c r="L23" s="17" t="s">
        <v>18</v>
      </c>
    </row>
    <row r="24" spans="1:12" ht="29.5" thickBot="1" x14ac:dyDescent="0.4">
      <c r="A24" s="14" t="s">
        <v>115</v>
      </c>
      <c r="B24" s="15" t="s">
        <v>11</v>
      </c>
      <c r="C24" s="15" t="s">
        <v>31</v>
      </c>
      <c r="D24" s="15" t="s">
        <v>116</v>
      </c>
      <c r="E24" s="15" t="s">
        <v>117</v>
      </c>
      <c r="F24" s="15" t="s">
        <v>15</v>
      </c>
      <c r="G24" s="15" t="s">
        <v>118</v>
      </c>
      <c r="H24" s="1" t="s">
        <v>471</v>
      </c>
      <c r="I24" s="2" t="s">
        <v>119</v>
      </c>
      <c r="J24" s="16" t="s">
        <v>119</v>
      </c>
      <c r="K24" s="15" t="s">
        <v>454</v>
      </c>
      <c r="L24" s="17" t="s">
        <v>23</v>
      </c>
    </row>
    <row r="25" spans="1:12" ht="29.5" thickBot="1" x14ac:dyDescent="0.4">
      <c r="A25" s="14" t="s">
        <v>120</v>
      </c>
      <c r="B25" s="15" t="s">
        <v>11</v>
      </c>
      <c r="C25" s="15" t="s">
        <v>12</v>
      </c>
      <c r="D25" s="15" t="s">
        <v>121</v>
      </c>
      <c r="E25" s="15" t="s">
        <v>122</v>
      </c>
      <c r="F25" s="15" t="s">
        <v>15</v>
      </c>
      <c r="G25" s="15" t="s">
        <v>123</v>
      </c>
      <c r="H25" s="1" t="s">
        <v>469</v>
      </c>
      <c r="I25" s="2" t="s">
        <v>69</v>
      </c>
      <c r="J25" s="16" t="s">
        <v>69</v>
      </c>
      <c r="K25" s="15" t="s">
        <v>454</v>
      </c>
      <c r="L25" s="17" t="s">
        <v>23</v>
      </c>
    </row>
    <row r="26" spans="1:12" ht="39" thickBot="1" x14ac:dyDescent="0.4">
      <c r="A26" s="14" t="s">
        <v>124</v>
      </c>
      <c r="B26" s="15" t="s">
        <v>11</v>
      </c>
      <c r="C26" s="15" t="s">
        <v>25</v>
      </c>
      <c r="D26" s="15" t="s">
        <v>125</v>
      </c>
      <c r="E26" s="15" t="s">
        <v>122</v>
      </c>
      <c r="F26" s="15" t="s">
        <v>15</v>
      </c>
      <c r="G26" s="15" t="s">
        <v>126</v>
      </c>
      <c r="H26" s="1"/>
      <c r="I26" s="1"/>
      <c r="J26" s="16" t="s">
        <v>127</v>
      </c>
      <c r="K26" s="15" t="s">
        <v>454</v>
      </c>
      <c r="L26" s="17" t="s">
        <v>18</v>
      </c>
    </row>
    <row r="27" spans="1:12" ht="29.5" thickBot="1" x14ac:dyDescent="0.4">
      <c r="A27" s="14" t="s">
        <v>128</v>
      </c>
      <c r="B27" s="15" t="s">
        <v>11</v>
      </c>
      <c r="C27" s="15" t="s">
        <v>31</v>
      </c>
      <c r="D27" s="15" t="s">
        <v>129</v>
      </c>
      <c r="E27" s="15" t="s">
        <v>117</v>
      </c>
      <c r="F27" s="15" t="s">
        <v>15</v>
      </c>
      <c r="G27" s="15" t="s">
        <v>130</v>
      </c>
      <c r="H27" s="1"/>
      <c r="I27" s="1"/>
      <c r="J27" s="16" t="s">
        <v>131</v>
      </c>
      <c r="K27" s="15" t="s">
        <v>454</v>
      </c>
      <c r="L27" s="18" t="s">
        <v>94</v>
      </c>
    </row>
    <row r="28" spans="1:12" ht="58.5" thickBot="1" x14ac:dyDescent="0.4">
      <c r="A28" s="14" t="s">
        <v>132</v>
      </c>
      <c r="B28" s="15" t="s">
        <v>11</v>
      </c>
      <c r="C28" s="15" t="s">
        <v>12</v>
      </c>
      <c r="D28" s="15" t="s">
        <v>133</v>
      </c>
      <c r="E28" s="15" t="s">
        <v>117</v>
      </c>
      <c r="F28" s="15" t="s">
        <v>15</v>
      </c>
      <c r="G28" s="15" t="s">
        <v>134</v>
      </c>
      <c r="H28" s="1"/>
      <c r="I28" s="2" t="s">
        <v>135</v>
      </c>
      <c r="J28" s="16" t="s">
        <v>135</v>
      </c>
      <c r="K28" s="15" t="s">
        <v>454</v>
      </c>
      <c r="L28" s="17" t="s">
        <v>75</v>
      </c>
    </row>
    <row r="29" spans="1:12" ht="51.5" thickBot="1" x14ac:dyDescent="0.4">
      <c r="A29" s="14" t="s">
        <v>136</v>
      </c>
      <c r="B29" s="15" t="s">
        <v>11</v>
      </c>
      <c r="C29" s="15" t="s">
        <v>12</v>
      </c>
      <c r="D29" s="15" t="s">
        <v>137</v>
      </c>
      <c r="E29" s="15" t="s">
        <v>117</v>
      </c>
      <c r="F29" s="15" t="s">
        <v>15</v>
      </c>
      <c r="G29" s="15" t="s">
        <v>138</v>
      </c>
      <c r="H29" s="1"/>
      <c r="I29" s="1"/>
      <c r="J29" s="16" t="s">
        <v>139</v>
      </c>
      <c r="K29" s="15" t="s">
        <v>454</v>
      </c>
      <c r="L29" s="18" t="s">
        <v>94</v>
      </c>
    </row>
    <row r="30" spans="1:12" ht="39" thickBot="1" x14ac:dyDescent="0.4">
      <c r="A30" s="14" t="s">
        <v>140</v>
      </c>
      <c r="B30" s="15" t="s">
        <v>11</v>
      </c>
      <c r="C30" s="15" t="s">
        <v>25</v>
      </c>
      <c r="D30" s="15" t="s">
        <v>141</v>
      </c>
      <c r="E30" s="15" t="s">
        <v>142</v>
      </c>
      <c r="F30" s="15" t="s">
        <v>15</v>
      </c>
      <c r="G30" s="15" t="s">
        <v>143</v>
      </c>
      <c r="H30" s="1"/>
      <c r="I30" s="1"/>
      <c r="J30" s="16" t="s">
        <v>144</v>
      </c>
      <c r="K30" s="15" t="s">
        <v>454</v>
      </c>
      <c r="L30" s="18" t="s">
        <v>94</v>
      </c>
    </row>
    <row r="31" spans="1:12" ht="44" thickBot="1" x14ac:dyDescent="0.4">
      <c r="A31" s="14" t="s">
        <v>145</v>
      </c>
      <c r="B31" s="15" t="s">
        <v>11</v>
      </c>
      <c r="C31" s="15" t="s">
        <v>82</v>
      </c>
      <c r="D31" s="15" t="s">
        <v>146</v>
      </c>
      <c r="E31" s="15" t="s">
        <v>142</v>
      </c>
      <c r="F31" s="15" t="s">
        <v>15</v>
      </c>
      <c r="G31" s="15" t="s">
        <v>147</v>
      </c>
      <c r="H31" s="1" t="s">
        <v>472</v>
      </c>
      <c r="I31" s="2" t="s">
        <v>148</v>
      </c>
      <c r="J31" s="16" t="s">
        <v>148</v>
      </c>
      <c r="K31" s="15" t="s">
        <v>454</v>
      </c>
      <c r="L31" s="17" t="s">
        <v>23</v>
      </c>
    </row>
    <row r="32" spans="1:12" ht="51.5" thickBot="1" x14ac:dyDescent="0.4">
      <c r="A32" s="14" t="s">
        <v>149</v>
      </c>
      <c r="B32" s="15" t="s">
        <v>11</v>
      </c>
      <c r="C32" s="15" t="s">
        <v>12</v>
      </c>
      <c r="D32" s="15" t="s">
        <v>150</v>
      </c>
      <c r="E32" s="15" t="s">
        <v>151</v>
      </c>
      <c r="F32" s="15" t="s">
        <v>15</v>
      </c>
      <c r="G32" s="15" t="s">
        <v>152</v>
      </c>
      <c r="H32" s="1" t="s">
        <v>473</v>
      </c>
      <c r="I32" s="2" t="s">
        <v>153</v>
      </c>
      <c r="J32" s="16" t="s">
        <v>153</v>
      </c>
      <c r="K32" s="15" t="s">
        <v>454</v>
      </c>
      <c r="L32" s="17" t="s">
        <v>23</v>
      </c>
    </row>
    <row r="33" spans="1:12" ht="39" thickBot="1" x14ac:dyDescent="0.4">
      <c r="A33" s="14" t="s">
        <v>154</v>
      </c>
      <c r="B33" s="15" t="s">
        <v>11</v>
      </c>
      <c r="C33" s="15" t="s">
        <v>82</v>
      </c>
      <c r="D33" s="15" t="s">
        <v>155</v>
      </c>
      <c r="E33" s="15" t="s">
        <v>151</v>
      </c>
      <c r="F33" s="15" t="s">
        <v>15</v>
      </c>
      <c r="G33" s="15" t="s">
        <v>156</v>
      </c>
      <c r="H33" s="1"/>
      <c r="I33" s="1"/>
      <c r="J33" s="16" t="s">
        <v>157</v>
      </c>
      <c r="K33" s="15" t="s">
        <v>454</v>
      </c>
      <c r="L33" s="18" t="s">
        <v>94</v>
      </c>
    </row>
    <row r="34" spans="1:12" ht="29.5" thickBot="1" x14ac:dyDescent="0.4">
      <c r="A34" s="14" t="s">
        <v>158</v>
      </c>
      <c r="B34" s="15" t="s">
        <v>11</v>
      </c>
      <c r="C34" s="15" t="s">
        <v>31</v>
      </c>
      <c r="D34" s="15" t="s">
        <v>159</v>
      </c>
      <c r="E34" s="15" t="s">
        <v>151</v>
      </c>
      <c r="F34" s="15" t="s">
        <v>15</v>
      </c>
      <c r="G34" s="15" t="s">
        <v>160</v>
      </c>
      <c r="H34" s="1" t="s">
        <v>474</v>
      </c>
      <c r="I34" s="2" t="s">
        <v>161</v>
      </c>
      <c r="J34" s="16" t="s">
        <v>161</v>
      </c>
      <c r="K34" s="15" t="s">
        <v>454</v>
      </c>
      <c r="L34" s="17" t="s">
        <v>23</v>
      </c>
    </row>
    <row r="35" spans="1:12" ht="29.5" thickBot="1" x14ac:dyDescent="0.4">
      <c r="A35" s="14" t="s">
        <v>162</v>
      </c>
      <c r="B35" s="15" t="s">
        <v>11</v>
      </c>
      <c r="C35" s="15" t="s">
        <v>12</v>
      </c>
      <c r="D35" s="15" t="s">
        <v>163</v>
      </c>
      <c r="E35" s="15" t="s">
        <v>151</v>
      </c>
      <c r="F35" s="15" t="s">
        <v>15</v>
      </c>
      <c r="G35" s="15" t="s">
        <v>164</v>
      </c>
      <c r="H35" s="1"/>
      <c r="I35" s="1"/>
      <c r="J35" s="16" t="s">
        <v>165</v>
      </c>
      <c r="K35" s="15" t="s">
        <v>454</v>
      </c>
      <c r="L35" s="17" t="s">
        <v>18</v>
      </c>
    </row>
    <row r="36" spans="1:12" ht="39" thickBot="1" x14ac:dyDescent="0.4">
      <c r="A36" s="14" t="s">
        <v>166</v>
      </c>
      <c r="B36" s="15" t="s">
        <v>11</v>
      </c>
      <c r="C36" s="15" t="s">
        <v>25</v>
      </c>
      <c r="D36" s="15" t="s">
        <v>167</v>
      </c>
      <c r="E36" s="15" t="s">
        <v>151</v>
      </c>
      <c r="F36" s="15" t="s">
        <v>15</v>
      </c>
      <c r="G36" s="15" t="s">
        <v>168</v>
      </c>
      <c r="H36" s="1"/>
      <c r="I36" s="1"/>
      <c r="J36" s="16" t="s">
        <v>169</v>
      </c>
      <c r="K36" s="15" t="s">
        <v>454</v>
      </c>
      <c r="L36" s="17" t="s">
        <v>18</v>
      </c>
    </row>
    <row r="37" spans="1:12" ht="39" thickBot="1" x14ac:dyDescent="0.4">
      <c r="A37" s="14" t="s">
        <v>170</v>
      </c>
      <c r="B37" s="15" t="s">
        <v>11</v>
      </c>
      <c r="C37" s="15" t="s">
        <v>25</v>
      </c>
      <c r="D37" s="15" t="s">
        <v>171</v>
      </c>
      <c r="E37" s="15" t="s">
        <v>172</v>
      </c>
      <c r="F37" s="15" t="s">
        <v>15</v>
      </c>
      <c r="G37" s="15" t="s">
        <v>173</v>
      </c>
      <c r="H37" s="1"/>
      <c r="I37" s="1"/>
      <c r="J37" s="16" t="s">
        <v>174</v>
      </c>
      <c r="K37" s="15" t="s">
        <v>454</v>
      </c>
      <c r="L37" s="17" t="s">
        <v>18</v>
      </c>
    </row>
    <row r="38" spans="1:12" ht="39" thickBot="1" x14ac:dyDescent="0.4">
      <c r="A38" s="14" t="s">
        <v>175</v>
      </c>
      <c r="B38" s="15" t="s">
        <v>11</v>
      </c>
      <c r="C38" s="15" t="s">
        <v>12</v>
      </c>
      <c r="D38" s="15" t="s">
        <v>176</v>
      </c>
      <c r="E38" s="15" t="s">
        <v>172</v>
      </c>
      <c r="F38" s="15" t="s">
        <v>15</v>
      </c>
      <c r="G38" s="15" t="s">
        <v>177</v>
      </c>
      <c r="H38" s="1"/>
      <c r="I38" s="1"/>
      <c r="J38" s="16" t="s">
        <v>178</v>
      </c>
      <c r="K38" s="15" t="s">
        <v>454</v>
      </c>
      <c r="L38" s="18" t="s">
        <v>94</v>
      </c>
    </row>
    <row r="39" spans="1:12" ht="39" thickBot="1" x14ac:dyDescent="0.4">
      <c r="A39" s="14" t="s">
        <v>179</v>
      </c>
      <c r="B39" s="15" t="s">
        <v>11</v>
      </c>
      <c r="C39" s="15" t="s">
        <v>12</v>
      </c>
      <c r="D39" s="15" t="s">
        <v>180</v>
      </c>
      <c r="E39" s="15" t="s">
        <v>172</v>
      </c>
      <c r="F39" s="15" t="s">
        <v>15</v>
      </c>
      <c r="G39" s="15" t="s">
        <v>181</v>
      </c>
      <c r="H39" s="1"/>
      <c r="I39" s="1"/>
      <c r="J39" s="16" t="s">
        <v>182</v>
      </c>
      <c r="K39" s="15" t="s">
        <v>454</v>
      </c>
      <c r="L39" s="18" t="s">
        <v>94</v>
      </c>
    </row>
    <row r="40" spans="1:12" ht="44" thickBot="1" x14ac:dyDescent="0.4">
      <c r="A40" s="14" t="s">
        <v>183</v>
      </c>
      <c r="B40" s="15" t="s">
        <v>11</v>
      </c>
      <c r="C40" s="15" t="s">
        <v>12</v>
      </c>
      <c r="D40" s="15" t="s">
        <v>184</v>
      </c>
      <c r="E40" s="15" t="s">
        <v>172</v>
      </c>
      <c r="F40" s="15" t="s">
        <v>15</v>
      </c>
      <c r="G40" s="15" t="s">
        <v>185</v>
      </c>
      <c r="H40" s="1" t="s">
        <v>475</v>
      </c>
      <c r="I40" s="2" t="s">
        <v>186</v>
      </c>
      <c r="J40" s="16" t="s">
        <v>186</v>
      </c>
      <c r="K40" s="15" t="s">
        <v>454</v>
      </c>
      <c r="L40" s="17" t="s">
        <v>23</v>
      </c>
    </row>
    <row r="41" spans="1:12" ht="29.5" thickBot="1" x14ac:dyDescent="0.4">
      <c r="A41" s="14" t="s">
        <v>187</v>
      </c>
      <c r="B41" s="15" t="s">
        <v>11</v>
      </c>
      <c r="C41" s="15" t="s">
        <v>12</v>
      </c>
      <c r="D41" s="15" t="s">
        <v>188</v>
      </c>
      <c r="E41" s="15" t="s">
        <v>172</v>
      </c>
      <c r="F41" s="15" t="s">
        <v>15</v>
      </c>
      <c r="G41" s="15" t="s">
        <v>189</v>
      </c>
      <c r="H41" s="1"/>
      <c r="I41" s="1"/>
      <c r="J41" s="16" t="s">
        <v>190</v>
      </c>
      <c r="K41" s="15" t="s">
        <v>454</v>
      </c>
      <c r="L41" s="18" t="s">
        <v>94</v>
      </c>
    </row>
    <row r="42" spans="1:12" ht="39" thickBot="1" x14ac:dyDescent="0.4">
      <c r="A42" s="14" t="s">
        <v>191</v>
      </c>
      <c r="B42" s="15" t="s">
        <v>11</v>
      </c>
      <c r="C42" s="15" t="s">
        <v>12</v>
      </c>
      <c r="D42" s="15" t="s">
        <v>192</v>
      </c>
      <c r="E42" s="15" t="s">
        <v>172</v>
      </c>
      <c r="F42" s="15" t="s">
        <v>15</v>
      </c>
      <c r="G42" s="15" t="s">
        <v>193</v>
      </c>
      <c r="H42" s="1" t="s">
        <v>476</v>
      </c>
      <c r="I42" s="2" t="s">
        <v>194</v>
      </c>
      <c r="J42" s="16" t="s">
        <v>194</v>
      </c>
      <c r="K42" s="15" t="s">
        <v>454</v>
      </c>
      <c r="L42" s="17" t="s">
        <v>23</v>
      </c>
    </row>
    <row r="43" spans="1:12" ht="39" thickBot="1" x14ac:dyDescent="0.4">
      <c r="A43" s="14" t="s">
        <v>195</v>
      </c>
      <c r="B43" s="15" t="s">
        <v>11</v>
      </c>
      <c r="C43" s="15" t="s">
        <v>25</v>
      </c>
      <c r="D43" s="15" t="s">
        <v>196</v>
      </c>
      <c r="E43" s="15" t="s">
        <v>197</v>
      </c>
      <c r="F43" s="15" t="s">
        <v>15</v>
      </c>
      <c r="G43" s="15" t="s">
        <v>198</v>
      </c>
      <c r="H43" s="1"/>
      <c r="I43" s="1"/>
      <c r="J43" s="16" t="s">
        <v>199</v>
      </c>
      <c r="K43" s="15" t="s">
        <v>454</v>
      </c>
      <c r="L43" s="18" t="s">
        <v>94</v>
      </c>
    </row>
    <row r="44" spans="1:12" ht="51.5" thickBot="1" x14ac:dyDescent="0.4">
      <c r="A44" s="14" t="s">
        <v>200</v>
      </c>
      <c r="B44" s="15" t="s">
        <v>11</v>
      </c>
      <c r="C44" s="15" t="s">
        <v>12</v>
      </c>
      <c r="D44" s="15" t="s">
        <v>201</v>
      </c>
      <c r="E44" s="15" t="s">
        <v>197</v>
      </c>
      <c r="F44" s="15" t="s">
        <v>15</v>
      </c>
      <c r="G44" s="15" t="s">
        <v>202</v>
      </c>
      <c r="H44" s="1"/>
      <c r="I44" s="1"/>
      <c r="J44" s="16" t="s">
        <v>203</v>
      </c>
      <c r="K44" s="15" t="s">
        <v>454</v>
      </c>
      <c r="L44" s="17" t="s">
        <v>18</v>
      </c>
    </row>
    <row r="45" spans="1:12" ht="29.5" thickBot="1" x14ac:dyDescent="0.4">
      <c r="A45" s="14" t="s">
        <v>204</v>
      </c>
      <c r="B45" s="15" t="s">
        <v>11</v>
      </c>
      <c r="C45" s="15" t="s">
        <v>31</v>
      </c>
      <c r="D45" s="15" t="s">
        <v>205</v>
      </c>
      <c r="E45" s="15" t="s">
        <v>197</v>
      </c>
      <c r="F45" s="15" t="s">
        <v>15</v>
      </c>
      <c r="G45" s="15" t="s">
        <v>206</v>
      </c>
      <c r="H45" s="1" t="s">
        <v>477</v>
      </c>
      <c r="I45" s="2" t="s">
        <v>207</v>
      </c>
      <c r="J45" s="16" t="s">
        <v>207</v>
      </c>
      <c r="K45" s="15" t="s">
        <v>454</v>
      </c>
      <c r="L45" s="17" t="s">
        <v>208</v>
      </c>
    </row>
    <row r="46" spans="1:12" ht="29.5" thickBot="1" x14ac:dyDescent="0.4">
      <c r="A46" s="14" t="s">
        <v>209</v>
      </c>
      <c r="B46" s="15" t="s">
        <v>11</v>
      </c>
      <c r="C46" s="15" t="s">
        <v>25</v>
      </c>
      <c r="D46" s="15" t="s">
        <v>210</v>
      </c>
      <c r="E46" s="15" t="s">
        <v>211</v>
      </c>
      <c r="F46" s="15" t="s">
        <v>15</v>
      </c>
      <c r="G46" s="15" t="s">
        <v>16</v>
      </c>
      <c r="H46" s="1"/>
      <c r="I46" s="1"/>
      <c r="J46" s="16" t="s">
        <v>212</v>
      </c>
      <c r="K46" s="15" t="s">
        <v>454</v>
      </c>
      <c r="L46" s="18" t="s">
        <v>94</v>
      </c>
    </row>
    <row r="47" spans="1:12" ht="51.5" thickBot="1" x14ac:dyDescent="0.4">
      <c r="A47" s="14" t="s">
        <v>213</v>
      </c>
      <c r="B47" s="15" t="s">
        <v>11</v>
      </c>
      <c r="C47" s="15" t="s">
        <v>31</v>
      </c>
      <c r="D47" s="15" t="s">
        <v>214</v>
      </c>
      <c r="E47" s="15" t="s">
        <v>211</v>
      </c>
      <c r="F47" s="15" t="s">
        <v>15</v>
      </c>
      <c r="G47" s="15" t="s">
        <v>215</v>
      </c>
      <c r="H47" s="1"/>
      <c r="I47" s="1"/>
      <c r="J47" s="16" t="s">
        <v>216</v>
      </c>
      <c r="K47" s="15" t="s">
        <v>454</v>
      </c>
      <c r="L47" s="18" t="s">
        <v>94</v>
      </c>
    </row>
    <row r="48" spans="1:12" ht="51.5" thickBot="1" x14ac:dyDescent="0.4">
      <c r="A48" s="14" t="s">
        <v>217</v>
      </c>
      <c r="B48" s="15" t="s">
        <v>11</v>
      </c>
      <c r="C48" s="15" t="s">
        <v>12</v>
      </c>
      <c r="D48" s="15" t="s">
        <v>218</v>
      </c>
      <c r="E48" s="15" t="s">
        <v>219</v>
      </c>
      <c r="F48" s="15" t="s">
        <v>15</v>
      </c>
      <c r="G48" s="15" t="s">
        <v>220</v>
      </c>
      <c r="H48" s="1" t="s">
        <v>478</v>
      </c>
      <c r="I48" s="2" t="s">
        <v>221</v>
      </c>
      <c r="J48" s="16" t="s">
        <v>221</v>
      </c>
      <c r="K48" s="15" t="s">
        <v>454</v>
      </c>
      <c r="L48" s="17" t="s">
        <v>222</v>
      </c>
    </row>
    <row r="49" spans="1:12" ht="44" thickBot="1" x14ac:dyDescent="0.4">
      <c r="A49" s="14" t="s">
        <v>223</v>
      </c>
      <c r="B49" s="15" t="s">
        <v>11</v>
      </c>
      <c r="C49" s="15" t="s">
        <v>12</v>
      </c>
      <c r="D49" s="15" t="s">
        <v>224</v>
      </c>
      <c r="E49" s="15" t="s">
        <v>219</v>
      </c>
      <c r="F49" s="15" t="s">
        <v>15</v>
      </c>
      <c r="G49" s="15" t="s">
        <v>225</v>
      </c>
      <c r="H49" s="1"/>
      <c r="I49" s="1"/>
      <c r="J49" s="16" t="s">
        <v>226</v>
      </c>
      <c r="K49" s="15" t="s">
        <v>454</v>
      </c>
      <c r="L49" s="17" t="s">
        <v>18</v>
      </c>
    </row>
    <row r="50" spans="1:12" ht="58.5" thickBot="1" x14ac:dyDescent="0.4">
      <c r="A50" s="14" t="s">
        <v>227</v>
      </c>
      <c r="B50" s="15" t="s">
        <v>11</v>
      </c>
      <c r="C50" s="15" t="s">
        <v>12</v>
      </c>
      <c r="D50" s="15" t="s">
        <v>228</v>
      </c>
      <c r="E50" s="15" t="s">
        <v>229</v>
      </c>
      <c r="F50" s="15" t="s">
        <v>15</v>
      </c>
      <c r="G50" s="15" t="s">
        <v>230</v>
      </c>
      <c r="H50" s="1"/>
      <c r="I50" s="1"/>
      <c r="J50" s="16" t="s">
        <v>231</v>
      </c>
      <c r="K50" s="15" t="s">
        <v>454</v>
      </c>
      <c r="L50" s="18" t="s">
        <v>94</v>
      </c>
    </row>
    <row r="51" spans="1:12" ht="39" thickBot="1" x14ac:dyDescent="0.4">
      <c r="A51" s="14" t="s">
        <v>232</v>
      </c>
      <c r="B51" s="15" t="s">
        <v>11</v>
      </c>
      <c r="C51" s="15" t="s">
        <v>31</v>
      </c>
      <c r="D51" s="15" t="s">
        <v>233</v>
      </c>
      <c r="E51" s="15" t="s">
        <v>219</v>
      </c>
      <c r="F51" s="15" t="s">
        <v>15</v>
      </c>
      <c r="G51" s="15" t="s">
        <v>234</v>
      </c>
      <c r="H51" s="1" t="s">
        <v>479</v>
      </c>
      <c r="I51" s="2" t="s">
        <v>235</v>
      </c>
      <c r="J51" s="16" t="s">
        <v>235</v>
      </c>
      <c r="K51" s="15" t="s">
        <v>454</v>
      </c>
      <c r="L51" s="17" t="s">
        <v>222</v>
      </c>
    </row>
    <row r="52" spans="1:12" ht="44" thickBot="1" x14ac:dyDescent="0.4">
      <c r="A52" s="14" t="s">
        <v>236</v>
      </c>
      <c r="B52" s="15" t="s">
        <v>11</v>
      </c>
      <c r="C52" s="15" t="s">
        <v>12</v>
      </c>
      <c r="D52" s="15" t="s">
        <v>237</v>
      </c>
      <c r="E52" s="15" t="s">
        <v>219</v>
      </c>
      <c r="F52" s="15" t="s">
        <v>15</v>
      </c>
      <c r="G52" s="15"/>
      <c r="H52" s="1"/>
      <c r="I52" s="1"/>
      <c r="J52" s="16" t="s">
        <v>238</v>
      </c>
      <c r="K52" s="15" t="s">
        <v>455</v>
      </c>
      <c r="L52" s="17" t="s">
        <v>18</v>
      </c>
    </row>
    <row r="53" spans="1:12" ht="44" thickBot="1" x14ac:dyDescent="0.4">
      <c r="A53" s="14" t="s">
        <v>239</v>
      </c>
      <c r="B53" s="15" t="s">
        <v>11</v>
      </c>
      <c r="C53" s="15" t="s">
        <v>31</v>
      </c>
      <c r="D53" s="15" t="s">
        <v>240</v>
      </c>
      <c r="E53" s="15" t="s">
        <v>219</v>
      </c>
      <c r="F53" s="15" t="s">
        <v>15</v>
      </c>
      <c r="G53" s="15" t="s">
        <v>241</v>
      </c>
      <c r="H53" s="1"/>
      <c r="I53" s="2" t="s">
        <v>483</v>
      </c>
      <c r="J53" s="16" t="s">
        <v>242</v>
      </c>
      <c r="K53" s="15" t="s">
        <v>454</v>
      </c>
      <c r="L53" s="17" t="s">
        <v>75</v>
      </c>
    </row>
    <row r="54" spans="1:12" ht="39" thickBot="1" x14ac:dyDescent="0.4">
      <c r="A54" s="14" t="s">
        <v>243</v>
      </c>
      <c r="B54" s="15" t="s">
        <v>11</v>
      </c>
      <c r="C54" s="15" t="s">
        <v>12</v>
      </c>
      <c r="D54" s="15" t="s">
        <v>244</v>
      </c>
      <c r="E54" s="15" t="s">
        <v>219</v>
      </c>
      <c r="F54" s="15" t="s">
        <v>15</v>
      </c>
      <c r="G54" s="15" t="s">
        <v>245</v>
      </c>
      <c r="H54" s="1" t="s">
        <v>480</v>
      </c>
      <c r="I54" s="2" t="s">
        <v>246</v>
      </c>
      <c r="J54" s="16" t="s">
        <v>246</v>
      </c>
      <c r="K54" s="15" t="s">
        <v>454</v>
      </c>
      <c r="L54" s="17" t="s">
        <v>222</v>
      </c>
    </row>
    <row r="55" spans="1:12" ht="39" thickBot="1" x14ac:dyDescent="0.4">
      <c r="A55" s="14" t="s">
        <v>247</v>
      </c>
      <c r="B55" s="15" t="s">
        <v>11</v>
      </c>
      <c r="C55" s="15" t="s">
        <v>12</v>
      </c>
      <c r="D55" s="15" t="s">
        <v>248</v>
      </c>
      <c r="E55" s="15" t="s">
        <v>229</v>
      </c>
      <c r="F55" s="15" t="s">
        <v>15</v>
      </c>
      <c r="G55" s="15" t="s">
        <v>249</v>
      </c>
      <c r="H55" s="1"/>
      <c r="I55" s="1"/>
      <c r="J55" s="16" t="s">
        <v>250</v>
      </c>
      <c r="K55" s="15" t="s">
        <v>454</v>
      </c>
      <c r="L55" s="18" t="s">
        <v>94</v>
      </c>
    </row>
    <row r="56" spans="1:12" ht="44" thickBot="1" x14ac:dyDescent="0.4">
      <c r="A56" s="14" t="s">
        <v>251</v>
      </c>
      <c r="B56" s="15" t="s">
        <v>11</v>
      </c>
      <c r="C56" s="15" t="s">
        <v>12</v>
      </c>
      <c r="D56" s="15" t="s">
        <v>252</v>
      </c>
      <c r="E56" s="15" t="s">
        <v>219</v>
      </c>
      <c r="F56" s="15" t="s">
        <v>15</v>
      </c>
      <c r="G56" s="15" t="s">
        <v>253</v>
      </c>
      <c r="H56" s="1"/>
      <c r="I56" s="2" t="s">
        <v>484</v>
      </c>
      <c r="J56" s="16" t="s">
        <v>254</v>
      </c>
      <c r="K56" s="15" t="s">
        <v>454</v>
      </c>
      <c r="L56" s="17" t="s">
        <v>75</v>
      </c>
    </row>
    <row r="57" spans="1:12" ht="58.5" thickBot="1" x14ac:dyDescent="0.4">
      <c r="A57" s="14" t="s">
        <v>255</v>
      </c>
      <c r="B57" s="15" t="s">
        <v>11</v>
      </c>
      <c r="C57" s="15" t="s">
        <v>12</v>
      </c>
      <c r="D57" s="15" t="s">
        <v>256</v>
      </c>
      <c r="E57" s="15" t="s">
        <v>257</v>
      </c>
      <c r="F57" s="15" t="s">
        <v>15</v>
      </c>
      <c r="G57" s="15" t="s">
        <v>59</v>
      </c>
      <c r="H57" s="1"/>
      <c r="I57" s="1"/>
      <c r="J57" s="16" t="s">
        <v>258</v>
      </c>
      <c r="K57" s="15" t="s">
        <v>454</v>
      </c>
      <c r="L57" s="17" t="s">
        <v>18</v>
      </c>
    </row>
    <row r="58" spans="1:12" ht="29.5" thickBot="1" x14ac:dyDescent="0.4">
      <c r="A58" s="14" t="s">
        <v>259</v>
      </c>
      <c r="B58" s="15" t="s">
        <v>11</v>
      </c>
      <c r="C58" s="15" t="s">
        <v>12</v>
      </c>
      <c r="D58" s="15" t="s">
        <v>260</v>
      </c>
      <c r="E58" s="15" t="s">
        <v>257</v>
      </c>
      <c r="F58" s="15" t="s">
        <v>15</v>
      </c>
      <c r="G58" s="15" t="s">
        <v>261</v>
      </c>
      <c r="H58" s="1" t="s">
        <v>481</v>
      </c>
      <c r="I58" s="2" t="s">
        <v>262</v>
      </c>
      <c r="J58" s="16" t="s">
        <v>262</v>
      </c>
      <c r="K58" s="15" t="s">
        <v>454</v>
      </c>
      <c r="L58" s="17" t="s">
        <v>222</v>
      </c>
    </row>
    <row r="59" spans="1:12" ht="26.5" thickBot="1" x14ac:dyDescent="0.4">
      <c r="A59" s="14" t="s">
        <v>263</v>
      </c>
      <c r="B59" s="15" t="s">
        <v>11</v>
      </c>
      <c r="C59" s="15" t="s">
        <v>25</v>
      </c>
      <c r="D59" s="15" t="s">
        <v>264</v>
      </c>
      <c r="E59" s="15" t="s">
        <v>257</v>
      </c>
      <c r="F59" s="15" t="s">
        <v>15</v>
      </c>
      <c r="G59" s="15"/>
      <c r="H59" s="1"/>
      <c r="I59" s="1"/>
      <c r="J59" s="16" t="s">
        <v>250</v>
      </c>
      <c r="K59" s="15" t="s">
        <v>454</v>
      </c>
      <c r="L59" s="18" t="s">
        <v>94</v>
      </c>
    </row>
    <row r="60" spans="1:12" ht="39" thickBot="1" x14ac:dyDescent="0.4">
      <c r="A60" s="14" t="s">
        <v>265</v>
      </c>
      <c r="B60" s="15" t="s">
        <v>11</v>
      </c>
      <c r="C60" s="15" t="s">
        <v>31</v>
      </c>
      <c r="D60" s="15" t="s">
        <v>266</v>
      </c>
      <c r="E60" s="15" t="s">
        <v>257</v>
      </c>
      <c r="F60" s="15" t="s">
        <v>15</v>
      </c>
      <c r="G60" s="15" t="s">
        <v>267</v>
      </c>
      <c r="H60" s="1"/>
      <c r="I60" s="1"/>
      <c r="J60" s="16" t="s">
        <v>250</v>
      </c>
      <c r="K60" s="15" t="s">
        <v>454</v>
      </c>
      <c r="L60" s="18" t="s">
        <v>94</v>
      </c>
    </row>
    <row r="61" spans="1:12" ht="26.5" thickBot="1" x14ac:dyDescent="0.4">
      <c r="A61" s="14" t="s">
        <v>268</v>
      </c>
      <c r="B61" s="15" t="s">
        <v>11</v>
      </c>
      <c r="C61" s="15" t="s">
        <v>12</v>
      </c>
      <c r="D61" s="15" t="s">
        <v>269</v>
      </c>
      <c r="E61" s="15" t="s">
        <v>257</v>
      </c>
      <c r="F61" s="15" t="s">
        <v>15</v>
      </c>
      <c r="G61" s="15"/>
      <c r="H61" s="1"/>
      <c r="I61" s="1"/>
      <c r="J61" s="16" t="s">
        <v>250</v>
      </c>
      <c r="K61" s="15" t="s">
        <v>454</v>
      </c>
      <c r="L61" s="17" t="s">
        <v>88</v>
      </c>
    </row>
    <row r="62" spans="1:12" ht="44" thickBot="1" x14ac:dyDescent="0.4">
      <c r="A62" s="14" t="s">
        <v>270</v>
      </c>
      <c r="B62" s="15" t="s">
        <v>11</v>
      </c>
      <c r="C62" s="15" t="s">
        <v>31</v>
      </c>
      <c r="D62" s="15" t="s">
        <v>271</v>
      </c>
      <c r="E62" s="15" t="s">
        <v>257</v>
      </c>
      <c r="F62" s="15" t="s">
        <v>15</v>
      </c>
      <c r="G62" s="15" t="s">
        <v>272</v>
      </c>
      <c r="H62" s="1" t="s">
        <v>482</v>
      </c>
      <c r="I62" s="2" t="s">
        <v>273</v>
      </c>
      <c r="J62" s="16" t="s">
        <v>273</v>
      </c>
      <c r="K62" s="15" t="s">
        <v>454</v>
      </c>
      <c r="L62" s="17" t="s">
        <v>222</v>
      </c>
    </row>
    <row r="63" spans="1:12" ht="29.5" thickBot="1" x14ac:dyDescent="0.4">
      <c r="A63" s="14" t="s">
        <v>274</v>
      </c>
      <c r="B63" s="15" t="s">
        <v>11</v>
      </c>
      <c r="C63" s="15" t="s">
        <v>12</v>
      </c>
      <c r="D63" s="15" t="s">
        <v>275</v>
      </c>
      <c r="E63" s="15" t="s">
        <v>276</v>
      </c>
      <c r="F63" s="15" t="s">
        <v>15</v>
      </c>
      <c r="G63" s="15"/>
      <c r="H63" s="1"/>
      <c r="I63" s="1"/>
      <c r="J63" s="16" t="s">
        <v>277</v>
      </c>
      <c r="K63" s="15" t="s">
        <v>455</v>
      </c>
      <c r="L63" s="17" t="s">
        <v>278</v>
      </c>
    </row>
    <row r="64" spans="1:12" ht="44" thickBot="1" x14ac:dyDescent="0.4">
      <c r="A64" s="19" t="s">
        <v>279</v>
      </c>
      <c r="B64" s="20" t="s">
        <v>11</v>
      </c>
      <c r="C64" s="20" t="s">
        <v>31</v>
      </c>
      <c r="D64" s="20" t="s">
        <v>280</v>
      </c>
      <c r="E64" s="20" t="s">
        <v>276</v>
      </c>
      <c r="F64" s="20" t="s">
        <v>15</v>
      </c>
      <c r="G64" s="20"/>
      <c r="H64" s="1"/>
      <c r="I64" s="1"/>
      <c r="J64" s="21" t="s">
        <v>281</v>
      </c>
      <c r="K64" s="20" t="s">
        <v>455</v>
      </c>
      <c r="L64" s="22" t="s">
        <v>278</v>
      </c>
    </row>
    <row r="67" spans="1:2" x14ac:dyDescent="0.35">
      <c r="A67" s="23" t="s">
        <v>460</v>
      </c>
      <c r="B67" s="23">
        <f>COUNTIF(K2:K64,"Yes")</f>
        <v>59</v>
      </c>
    </row>
    <row r="68" spans="1:2" x14ac:dyDescent="0.35">
      <c r="A68" s="23" t="s">
        <v>459</v>
      </c>
      <c r="B68" s="23">
        <f>COUNTIF(G2:G64,"")</f>
        <v>6</v>
      </c>
    </row>
    <row r="69" spans="1:2" x14ac:dyDescent="0.35">
      <c r="A69" s="23" t="s">
        <v>458</v>
      </c>
      <c r="B69" s="23">
        <f>COUNTIF(Table2[[#All],[Email ID]],"")</f>
        <v>40</v>
      </c>
    </row>
    <row r="70" spans="1:2" x14ac:dyDescent="0.35">
      <c r="A70" s="23" t="s">
        <v>457</v>
      </c>
      <c r="B70" s="23">
        <f>COUNTIF(K27:K67,"")</f>
        <v>3</v>
      </c>
    </row>
  </sheetData>
  <conditionalFormatting sqref="K2:K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J2" r:id="rId1" xr:uid="{C85DEE9C-DEC5-4C87-B60A-4A76A3B4EEF6}"/>
    <hyperlink ref="J3" r:id="rId2" xr:uid="{4D78566C-B7D3-478D-A865-013C1FCF6FED}"/>
    <hyperlink ref="J4" r:id="rId3" xr:uid="{68801A91-DA63-4EC4-9A8D-856236729943}"/>
    <hyperlink ref="J5" r:id="rId4" xr:uid="{3F570752-4507-4D2C-AA8F-BC60294178D7}"/>
    <hyperlink ref="J6" r:id="rId5" xr:uid="{1FB064AB-5E69-496D-97AE-038612E8158A}"/>
    <hyperlink ref="J7" r:id="rId6" xr:uid="{E3C3980C-0D77-4D2D-B054-291B098A0821}"/>
    <hyperlink ref="J8" r:id="rId7" xr:uid="{22D25463-A272-484F-821B-8173327CA8E9}"/>
    <hyperlink ref="J9" r:id="rId8" xr:uid="{55C0A129-E619-42C7-85B4-26FDC9B310B7}"/>
    <hyperlink ref="J10" r:id="rId9" xr:uid="{DE57A0E2-FE67-44C7-B28C-1B154B158280}"/>
    <hyperlink ref="J11" r:id="rId10" xr:uid="{E2A589F7-2956-47EC-886F-C403DBF19B6F}"/>
    <hyperlink ref="J12" r:id="rId11" xr:uid="{0567112A-1B57-441F-AA95-8E24B2EF6F05}"/>
    <hyperlink ref="J13" r:id="rId12" xr:uid="{9FAD9388-9D70-4A93-B81D-80DD5D8A5E72}"/>
    <hyperlink ref="J14" r:id="rId13" xr:uid="{B6A310B8-1AF0-4D9B-8E4B-E6FAB3E181F6}"/>
    <hyperlink ref="J15" r:id="rId14" xr:uid="{06E3B0E7-E7BE-4BAB-A334-484BB7C810A5}"/>
    <hyperlink ref="J16" r:id="rId15" xr:uid="{3EB685E9-E116-4CF7-9093-8F0FD357F3D4}"/>
    <hyperlink ref="J17" r:id="rId16" xr:uid="{0AB2D78D-CF29-4E6D-9471-38F0B2416E16}"/>
    <hyperlink ref="J18" r:id="rId17" xr:uid="{6DEC5E20-0346-49CD-893E-6FC16A93F43E}"/>
    <hyperlink ref="J19" r:id="rId18" xr:uid="{55B90BE6-D7ED-48DD-8334-2723232C0288}"/>
    <hyperlink ref="J20" r:id="rId19" xr:uid="{0853AC6D-D3E0-4D1C-9E34-F9B24306D553}"/>
    <hyperlink ref="J21" r:id="rId20" xr:uid="{3EB95536-A3CE-48A4-AFA2-0D07B6CEB71A}"/>
    <hyperlink ref="J22" r:id="rId21" xr:uid="{8138C3DB-C006-436F-8658-F0B151384113}"/>
    <hyperlink ref="J23" r:id="rId22" xr:uid="{ED11ED4B-D166-44A1-89E7-6072791E9218}"/>
    <hyperlink ref="J24" r:id="rId23" xr:uid="{DE7F8EBA-A0B4-4452-A912-9E8EBB5459B0}"/>
    <hyperlink ref="J25" r:id="rId24" xr:uid="{915ACCFC-5CB4-4813-B8F3-6EF19DD436B0}"/>
    <hyperlink ref="J26" r:id="rId25" xr:uid="{2D0C1AEB-4A19-456E-AC08-4A5651B873B9}"/>
    <hyperlink ref="J27" r:id="rId26" xr:uid="{24E034A0-9DCD-48E3-B451-E2F9A94A5A5B}"/>
    <hyperlink ref="J28" r:id="rId27" xr:uid="{5BB797EA-1C98-47D1-83F8-231A147986A0}"/>
    <hyperlink ref="J29" r:id="rId28" xr:uid="{B9CD58E3-E547-42C8-AF96-F7B8814F96FD}"/>
    <hyperlink ref="J30" r:id="rId29" xr:uid="{B6E5AC01-5F01-4791-B56E-436E27BFB634}"/>
    <hyperlink ref="J31" r:id="rId30" xr:uid="{CA989E39-3406-418F-91A9-938A4151562E}"/>
    <hyperlink ref="J32" r:id="rId31" xr:uid="{7E8C9A4A-6EE8-4C62-93D6-CC5D6600B9AB}"/>
    <hyperlink ref="J33" r:id="rId32" xr:uid="{77896A67-4475-46AE-90A6-A919BCE0FA3B}"/>
    <hyperlink ref="J34" r:id="rId33" xr:uid="{049EFF6A-666C-4870-8B1D-5D56A8F596C2}"/>
    <hyperlink ref="J35" r:id="rId34" xr:uid="{7596D49F-E2CA-4988-ADA5-14304BF159AA}"/>
    <hyperlink ref="J36" r:id="rId35" xr:uid="{1A8C8D0D-5E71-4688-9F91-86D23311321E}"/>
    <hyperlink ref="J37" r:id="rId36" xr:uid="{BFF185CC-AD4A-4C59-9AC9-FCE57846AC19}"/>
    <hyperlink ref="J38" r:id="rId37" xr:uid="{93AFCF9D-1309-43D6-87F1-4AC99DB1B4B8}"/>
    <hyperlink ref="J39" r:id="rId38" xr:uid="{A95BDF28-DEED-4A7E-8B7A-7D1BD2B10AFC}"/>
    <hyperlink ref="J40" r:id="rId39" xr:uid="{3A93CB09-94F5-4A2A-B608-3401103A8CB7}"/>
    <hyperlink ref="J41" r:id="rId40" xr:uid="{2E52E8CF-7BCC-483B-BE7F-8C809EA9696A}"/>
    <hyperlink ref="J42" r:id="rId41" xr:uid="{C5B88B0E-7EB4-43CB-BE54-4B448AB1F5DE}"/>
    <hyperlink ref="J43" r:id="rId42" xr:uid="{21570365-DEA9-4672-8E9F-DA786C21B4DB}"/>
    <hyperlink ref="J44" r:id="rId43" xr:uid="{E801EBE0-324A-452C-AB57-31E35E881BC5}"/>
    <hyperlink ref="J45" r:id="rId44" xr:uid="{9BEC95B1-B16F-43B1-95E4-6EB1A7CBC04D}"/>
    <hyperlink ref="J46" r:id="rId45" xr:uid="{E83BAE63-6D76-40A6-B74C-FEE7CC8063A8}"/>
    <hyperlink ref="J47" r:id="rId46" xr:uid="{C94F871E-C18D-45E6-B945-391C0D60B515}"/>
    <hyperlink ref="J48" r:id="rId47" xr:uid="{E64C07F4-B31F-4701-9E88-6F1AF6321C7F}"/>
    <hyperlink ref="J49" r:id="rId48" xr:uid="{A138DFB3-849E-49DE-A4ED-50DD309CDEDC}"/>
    <hyperlink ref="J50" r:id="rId49" xr:uid="{8902DDC5-B2DF-462C-9DA3-FEC4B0A9B92D}"/>
    <hyperlink ref="J51" r:id="rId50" xr:uid="{053677D6-F51B-40C9-AA6D-AD466B438C58}"/>
    <hyperlink ref="J52" r:id="rId51" xr:uid="{11F630FC-7458-4AA9-B577-0FAE2ED92360}"/>
    <hyperlink ref="J53" r:id="rId52" xr:uid="{84B4AD35-F912-4EA9-AC24-FB035016CA86}"/>
    <hyperlink ref="J54" r:id="rId53" xr:uid="{F1558807-7EE9-4897-BD81-D0D2FC251237}"/>
    <hyperlink ref="J55" r:id="rId54" xr:uid="{17881770-FA82-442D-BC41-73A89CE08906}"/>
    <hyperlink ref="J56" r:id="rId55" xr:uid="{AB226D9A-2019-4FB0-858F-0DEE105A7173}"/>
    <hyperlink ref="J57" r:id="rId56" xr:uid="{368A69E4-FA51-49EA-8FAD-384316EC0284}"/>
    <hyperlink ref="J58" r:id="rId57" xr:uid="{986554F0-0215-42C9-98CB-9996492776DF}"/>
    <hyperlink ref="J59" r:id="rId58" xr:uid="{57CD42BD-9320-4F39-8B1E-44908232DA49}"/>
    <hyperlink ref="J60" r:id="rId59" xr:uid="{D1A42334-06BA-4E99-84A5-396BF66FD42A}"/>
    <hyperlink ref="J61" r:id="rId60" xr:uid="{61E05E88-14E9-41D4-A3F6-E33233FA8519}"/>
    <hyperlink ref="J62" r:id="rId61" xr:uid="{1554A561-6913-49FB-92FB-2CF847A1AABE}"/>
    <hyperlink ref="J63" r:id="rId62" xr:uid="{28D6DAFE-1DF6-4F4A-A225-E04759C992C5}"/>
    <hyperlink ref="J64" r:id="rId63" xr:uid="{D202CC39-2661-4623-BAEC-C293B0A0A969}"/>
    <hyperlink ref="I3" r:id="rId64" xr:uid="{E1F59329-512A-4400-B679-525F4CCAC97A}"/>
    <hyperlink ref="I4" r:id="rId65" xr:uid="{70A2E557-D072-4D6B-A660-1AF4B124C3EF}"/>
    <hyperlink ref="I6" r:id="rId66" xr:uid="{A3058334-EB9A-487A-93B4-02D8D2DE9734}"/>
    <hyperlink ref="I7" r:id="rId67" xr:uid="{B0A703E4-9EEB-4954-89C4-9A4CED5E2F0F}"/>
    <hyperlink ref="I8" r:id="rId68" xr:uid="{797CBF5E-8E30-4EBE-9E7B-E057151CC149}"/>
    <hyperlink ref="I9" r:id="rId69" xr:uid="{97B2822E-C292-4DB0-B37F-BBC1B1496D22}"/>
    <hyperlink ref="I10" r:id="rId70" xr:uid="{38887800-D95D-4E1F-8449-FBCF2DCF67E7}"/>
    <hyperlink ref="I11" r:id="rId71" xr:uid="{41C3B995-32DF-4DF5-94CD-91BAB477BACA}"/>
    <hyperlink ref="I13" r:id="rId72" xr:uid="{E0080F6B-D80C-4161-AAF9-210D971AC563}"/>
    <hyperlink ref="I19" r:id="rId73" xr:uid="{E0FAB9B4-CDE7-4029-9F8F-569B732C28AE}"/>
    <hyperlink ref="I24" r:id="rId74" xr:uid="{2DA327E6-6748-4E87-A565-BEBFAF9D3376}"/>
    <hyperlink ref="I25" r:id="rId75" xr:uid="{B1967341-EE5A-494C-BDFC-D97A88868C2E}"/>
    <hyperlink ref="I28" r:id="rId76" xr:uid="{05E472C4-167F-4710-A1CD-9C957DA0165F}"/>
    <hyperlink ref="I31" r:id="rId77" xr:uid="{3C21F413-A3E3-4EE5-A402-8E51E82AAD3D}"/>
    <hyperlink ref="I32" r:id="rId78" xr:uid="{36C32993-13C2-45C0-8A1C-7FC487C3AF43}"/>
    <hyperlink ref="I34" r:id="rId79" xr:uid="{5BDBDBED-6505-4C3E-87CD-6665BA3E4AAF}"/>
    <hyperlink ref="I40" r:id="rId80" xr:uid="{E02C551F-9976-4532-B056-20062489C3CE}"/>
    <hyperlink ref="I42" r:id="rId81" xr:uid="{C00BDCB2-C7AB-4C2E-B325-EC4E63226F28}"/>
    <hyperlink ref="I45" r:id="rId82" xr:uid="{A6F72A30-EAFF-4588-9C72-C8B9D7CEFD2B}"/>
    <hyperlink ref="I48" r:id="rId83" xr:uid="{9E72F9F4-B4CF-410C-9322-E456202612BC}"/>
    <hyperlink ref="I51" r:id="rId84" xr:uid="{217C57CA-14A6-40B4-94FD-08854A139388}"/>
    <hyperlink ref="I53" r:id="rId85" xr:uid="{1E51DE13-7443-4339-BD91-DF322512772E}"/>
    <hyperlink ref="I54" r:id="rId86" xr:uid="{FD64DCC7-EC41-4FD9-98B0-36D9CCBCA554}"/>
    <hyperlink ref="I56" r:id="rId87" xr:uid="{2E776A21-A84C-47CA-A729-3DB2C2E4AA9B}"/>
    <hyperlink ref="I58" r:id="rId88" xr:uid="{CBF8AD67-7CC6-46AC-BEAC-E742C6F339BC}"/>
    <hyperlink ref="I62" r:id="rId89" xr:uid="{8349D404-A60A-44C3-9135-3DDCF5011B8E}"/>
  </hyperlinks>
  <pageMargins left="0.7" right="0.7" top="0.75" bottom="0.75" header="0.3" footer="0.3"/>
  <tableParts count="1">
    <tablePart r:id="rId9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5158-CF74-4647-9C8E-217FC85A3D57}">
  <dimension ref="A1:P67"/>
  <sheetViews>
    <sheetView topLeftCell="B57" workbookViewId="0">
      <selection activeCell="B64" sqref="B64"/>
    </sheetView>
  </sheetViews>
  <sheetFormatPr defaultRowHeight="14.5" x14ac:dyDescent="0.35"/>
  <cols>
    <col min="1" max="1" width="26.54296875" customWidth="1"/>
    <col min="3" max="3" width="18.36328125" customWidth="1"/>
    <col min="4" max="4" width="38.08984375" customWidth="1"/>
    <col min="5" max="5" width="17.453125" customWidth="1"/>
    <col min="6" max="6" width="10.81640625" customWidth="1"/>
    <col min="7" max="7" width="16.1796875" customWidth="1"/>
    <col min="8" max="8" width="25.90625" customWidth="1"/>
    <col min="9" max="9" width="32" customWidth="1"/>
    <col min="10" max="10" width="16.453125" customWidth="1"/>
    <col min="11" max="11" width="16.81640625" customWidth="1"/>
    <col min="12" max="12" width="35.54296875" customWidth="1"/>
    <col min="13" max="13" width="30.6328125" customWidth="1"/>
    <col min="14" max="14" width="23.453125" customWidth="1"/>
    <col min="15" max="15" width="25.1796875" customWidth="1"/>
    <col min="16" max="16" width="16.81640625" customWidth="1"/>
  </cols>
  <sheetData>
    <row r="1" spans="1:16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283</v>
      </c>
      <c r="I1" t="s">
        <v>485</v>
      </c>
      <c r="J1" t="s">
        <v>486</v>
      </c>
      <c r="K1" t="s">
        <v>7</v>
      </c>
      <c r="L1" t="s">
        <v>487</v>
      </c>
      <c r="M1" t="s">
        <v>488</v>
      </c>
      <c r="N1" t="s">
        <v>489</v>
      </c>
      <c r="O1" t="s">
        <v>8</v>
      </c>
      <c r="P1" t="s">
        <v>9</v>
      </c>
    </row>
    <row r="2" spans="1:16" ht="44" thickBot="1" x14ac:dyDescent="0.4">
      <c r="A2" s="1" t="s">
        <v>490</v>
      </c>
      <c r="B2" s="1" t="s">
        <v>491</v>
      </c>
      <c r="C2" s="1" t="s">
        <v>492</v>
      </c>
      <c r="D2" s="1" t="s">
        <v>493</v>
      </c>
      <c r="E2" s="1" t="s">
        <v>37</v>
      </c>
      <c r="F2" s="1" t="s">
        <v>15</v>
      </c>
      <c r="G2" s="1" t="s">
        <v>494</v>
      </c>
      <c r="H2" s="1" t="s">
        <v>495</v>
      </c>
      <c r="I2" s="1" t="s">
        <v>928</v>
      </c>
      <c r="J2" s="2" t="s">
        <v>496</v>
      </c>
      <c r="K2" s="1" t="s">
        <v>928</v>
      </c>
      <c r="L2" s="2" t="s">
        <v>497</v>
      </c>
      <c r="M2" s="1" t="s">
        <v>498</v>
      </c>
      <c r="N2" s="1" t="s">
        <v>499</v>
      </c>
      <c r="O2" s="1" t="s">
        <v>500</v>
      </c>
      <c r="P2" s="1" t="s">
        <v>454</v>
      </c>
    </row>
    <row r="3" spans="1:16" ht="44" thickBot="1" x14ac:dyDescent="0.4">
      <c r="A3" s="1" t="s">
        <v>501</v>
      </c>
      <c r="B3" s="1" t="s">
        <v>491</v>
      </c>
      <c r="C3" s="1" t="s">
        <v>502</v>
      </c>
      <c r="D3" s="1" t="s">
        <v>503</v>
      </c>
      <c r="E3" s="1" t="s">
        <v>320</v>
      </c>
      <c r="F3" s="1" t="s">
        <v>15</v>
      </c>
      <c r="G3" s="1" t="s">
        <v>321</v>
      </c>
      <c r="H3" s="1" t="s">
        <v>504</v>
      </c>
      <c r="I3" s="2" t="s">
        <v>505</v>
      </c>
      <c r="J3" s="2" t="s">
        <v>506</v>
      </c>
      <c r="K3" s="2" t="s">
        <v>507</v>
      </c>
      <c r="L3" s="2" t="s">
        <v>508</v>
      </c>
      <c r="M3" s="1" t="s">
        <v>509</v>
      </c>
      <c r="N3" s="1" t="s">
        <v>510</v>
      </c>
      <c r="O3" s="1" t="s">
        <v>511</v>
      </c>
      <c r="P3" s="1" t="s">
        <v>454</v>
      </c>
    </row>
    <row r="4" spans="1:16" ht="44" thickBot="1" x14ac:dyDescent="0.4">
      <c r="A4" s="1" t="s">
        <v>512</v>
      </c>
      <c r="B4" s="1" t="s">
        <v>491</v>
      </c>
      <c r="C4" s="1" t="s">
        <v>502</v>
      </c>
      <c r="D4" s="1" t="s">
        <v>513</v>
      </c>
      <c r="E4" s="1" t="s">
        <v>514</v>
      </c>
      <c r="F4" s="1" t="s">
        <v>15</v>
      </c>
      <c r="G4" s="1" t="s">
        <v>515</v>
      </c>
      <c r="H4" s="1" t="s">
        <v>516</v>
      </c>
      <c r="I4" s="1" t="s">
        <v>928</v>
      </c>
      <c r="J4" s="2" t="s">
        <v>517</v>
      </c>
      <c r="K4" s="1" t="s">
        <v>928</v>
      </c>
      <c r="L4" s="2" t="s">
        <v>518</v>
      </c>
      <c r="M4" s="1" t="s">
        <v>519</v>
      </c>
      <c r="N4" s="1" t="s">
        <v>520</v>
      </c>
      <c r="O4" s="1" t="s">
        <v>521</v>
      </c>
      <c r="P4" s="1" t="s">
        <v>454</v>
      </c>
    </row>
    <row r="5" spans="1:16" ht="44" thickBot="1" x14ac:dyDescent="0.4">
      <c r="A5" s="1" t="s">
        <v>522</v>
      </c>
      <c r="B5" s="1" t="s">
        <v>491</v>
      </c>
      <c r="C5" s="1" t="s">
        <v>292</v>
      </c>
      <c r="D5" s="1" t="s">
        <v>523</v>
      </c>
      <c r="E5" s="1" t="s">
        <v>78</v>
      </c>
      <c r="F5" s="1" t="s">
        <v>15</v>
      </c>
      <c r="G5" s="1" t="s">
        <v>524</v>
      </c>
      <c r="H5" s="1" t="s">
        <v>525</v>
      </c>
      <c r="I5" s="2" t="s">
        <v>526</v>
      </c>
      <c r="J5" s="2" t="s">
        <v>527</v>
      </c>
      <c r="K5" s="2" t="s">
        <v>528</v>
      </c>
      <c r="L5" s="2" t="s">
        <v>529</v>
      </c>
      <c r="M5" s="1" t="s">
        <v>530</v>
      </c>
      <c r="N5" s="1" t="s">
        <v>531</v>
      </c>
      <c r="O5" s="1" t="s">
        <v>532</v>
      </c>
      <c r="P5" s="1" t="s">
        <v>454</v>
      </c>
    </row>
    <row r="6" spans="1:16" ht="44" thickBot="1" x14ac:dyDescent="0.4">
      <c r="A6" s="1" t="s">
        <v>533</v>
      </c>
      <c r="B6" s="1" t="s">
        <v>491</v>
      </c>
      <c r="C6" s="1" t="s">
        <v>292</v>
      </c>
      <c r="D6" s="1" t="s">
        <v>534</v>
      </c>
      <c r="E6" s="1" t="s">
        <v>535</v>
      </c>
      <c r="F6" s="1" t="s">
        <v>15</v>
      </c>
      <c r="G6" s="1" t="s">
        <v>524</v>
      </c>
      <c r="H6" s="1" t="s">
        <v>525</v>
      </c>
      <c r="I6" s="2" t="s">
        <v>536</v>
      </c>
      <c r="J6" s="2" t="s">
        <v>527</v>
      </c>
      <c r="K6" s="2" t="s">
        <v>528</v>
      </c>
      <c r="L6" s="2" t="s">
        <v>537</v>
      </c>
      <c r="M6" s="1" t="s">
        <v>538</v>
      </c>
      <c r="N6" s="1" t="s">
        <v>539</v>
      </c>
      <c r="O6" s="1" t="s">
        <v>540</v>
      </c>
      <c r="P6" s="1" t="s">
        <v>454</v>
      </c>
    </row>
    <row r="7" spans="1:16" ht="44" thickBot="1" x14ac:dyDescent="0.4">
      <c r="A7" s="1" t="s">
        <v>541</v>
      </c>
      <c r="B7" s="1" t="s">
        <v>491</v>
      </c>
      <c r="C7" s="1" t="s">
        <v>292</v>
      </c>
      <c r="D7" s="1" t="s">
        <v>542</v>
      </c>
      <c r="E7" s="1" t="s">
        <v>122</v>
      </c>
      <c r="F7" s="1" t="s">
        <v>15</v>
      </c>
      <c r="G7" s="1" t="s">
        <v>524</v>
      </c>
      <c r="H7" s="1" t="s">
        <v>525</v>
      </c>
      <c r="I7" s="2" t="s">
        <v>536</v>
      </c>
      <c r="J7" s="2" t="s">
        <v>527</v>
      </c>
      <c r="K7" s="2" t="s">
        <v>528</v>
      </c>
      <c r="L7" s="2" t="s">
        <v>543</v>
      </c>
      <c r="M7" s="1" t="s">
        <v>544</v>
      </c>
      <c r="N7" s="1" t="s">
        <v>545</v>
      </c>
      <c r="O7" s="1" t="s">
        <v>546</v>
      </c>
      <c r="P7" s="1" t="s">
        <v>454</v>
      </c>
    </row>
    <row r="8" spans="1:16" ht="44" thickBot="1" x14ac:dyDescent="0.4">
      <c r="A8" s="1" t="s">
        <v>547</v>
      </c>
      <c r="B8" s="1" t="s">
        <v>491</v>
      </c>
      <c r="C8" s="1" t="s">
        <v>292</v>
      </c>
      <c r="D8" s="1" t="s">
        <v>548</v>
      </c>
      <c r="E8" s="1" t="s">
        <v>549</v>
      </c>
      <c r="F8" s="1" t="s">
        <v>15</v>
      </c>
      <c r="G8" s="1" t="s">
        <v>524</v>
      </c>
      <c r="H8" s="1" t="s">
        <v>525</v>
      </c>
      <c r="I8" s="2" t="s">
        <v>526</v>
      </c>
      <c r="J8" s="2" t="s">
        <v>550</v>
      </c>
      <c r="K8" s="1" t="s">
        <v>928</v>
      </c>
      <c r="L8" s="2" t="s">
        <v>551</v>
      </c>
      <c r="M8" s="1" t="s">
        <v>552</v>
      </c>
      <c r="N8" s="1" t="s">
        <v>531</v>
      </c>
      <c r="O8" s="1" t="s">
        <v>540</v>
      </c>
      <c r="P8" s="1" t="s">
        <v>454</v>
      </c>
    </row>
    <row r="9" spans="1:16" ht="39" thickBot="1" x14ac:dyDescent="0.4">
      <c r="A9" s="1" t="s">
        <v>553</v>
      </c>
      <c r="B9" s="1" t="s">
        <v>491</v>
      </c>
      <c r="C9" s="1" t="s">
        <v>554</v>
      </c>
      <c r="D9" s="1" t="s">
        <v>555</v>
      </c>
      <c r="E9" s="1" t="s">
        <v>556</v>
      </c>
      <c r="F9" s="1" t="s">
        <v>15</v>
      </c>
      <c r="G9" s="1" t="s">
        <v>63</v>
      </c>
      <c r="H9" s="1" t="s">
        <v>557</v>
      </c>
      <c r="I9" s="2" t="s">
        <v>558</v>
      </c>
      <c r="J9" s="1" t="s">
        <v>928</v>
      </c>
      <c r="K9" s="2" t="s">
        <v>559</v>
      </c>
      <c r="L9" s="2" t="s">
        <v>560</v>
      </c>
      <c r="M9" s="1" t="s">
        <v>561</v>
      </c>
      <c r="N9" s="1" t="s">
        <v>562</v>
      </c>
      <c r="O9" s="1" t="s">
        <v>563</v>
      </c>
      <c r="P9" s="1" t="s">
        <v>454</v>
      </c>
    </row>
    <row r="10" spans="1:16" ht="44" thickBot="1" x14ac:dyDescent="0.4">
      <c r="A10" s="1" t="s">
        <v>564</v>
      </c>
      <c r="B10" s="1" t="s">
        <v>491</v>
      </c>
      <c r="C10" s="1" t="s">
        <v>502</v>
      </c>
      <c r="D10" s="1" t="s">
        <v>565</v>
      </c>
      <c r="E10" s="1" t="s">
        <v>566</v>
      </c>
      <c r="F10" s="1" t="s">
        <v>15</v>
      </c>
      <c r="G10" s="1" t="s">
        <v>63</v>
      </c>
      <c r="H10" s="1" t="s">
        <v>567</v>
      </c>
      <c r="I10" s="2" t="s">
        <v>558</v>
      </c>
      <c r="J10" s="1" t="s">
        <v>928</v>
      </c>
      <c r="K10" s="2" t="s">
        <v>568</v>
      </c>
      <c r="L10" s="2" t="s">
        <v>569</v>
      </c>
      <c r="M10" s="1" t="s">
        <v>570</v>
      </c>
      <c r="N10" s="1" t="s">
        <v>571</v>
      </c>
      <c r="O10" s="1" t="s">
        <v>540</v>
      </c>
      <c r="P10" s="1" t="s">
        <v>454</v>
      </c>
    </row>
    <row r="11" spans="1:16" ht="44" thickBot="1" x14ac:dyDescent="0.4">
      <c r="A11" s="1" t="s">
        <v>572</v>
      </c>
      <c r="B11" s="1" t="s">
        <v>491</v>
      </c>
      <c r="C11" s="1" t="s">
        <v>502</v>
      </c>
      <c r="D11" s="1" t="s">
        <v>573</v>
      </c>
      <c r="E11" s="1" t="s">
        <v>574</v>
      </c>
      <c r="F11" s="1" t="s">
        <v>15</v>
      </c>
      <c r="G11" s="1" t="s">
        <v>575</v>
      </c>
      <c r="H11" s="1" t="s">
        <v>576</v>
      </c>
      <c r="I11" s="1" t="s">
        <v>928</v>
      </c>
      <c r="J11" s="2" t="s">
        <v>577</v>
      </c>
      <c r="K11" s="2" t="s">
        <v>578</v>
      </c>
      <c r="L11" s="2" t="s">
        <v>579</v>
      </c>
      <c r="M11" s="1" t="s">
        <v>580</v>
      </c>
      <c r="N11" s="1" t="s">
        <v>581</v>
      </c>
      <c r="O11" s="1" t="s">
        <v>540</v>
      </c>
      <c r="P11" s="1" t="s">
        <v>454</v>
      </c>
    </row>
    <row r="12" spans="1:16" ht="44" thickBot="1" x14ac:dyDescent="0.4">
      <c r="A12" s="1" t="s">
        <v>582</v>
      </c>
      <c r="B12" s="1" t="s">
        <v>491</v>
      </c>
      <c r="C12" s="1" t="s">
        <v>583</v>
      </c>
      <c r="D12" s="1" t="s">
        <v>36</v>
      </c>
      <c r="E12" s="1" t="s">
        <v>37</v>
      </c>
      <c r="F12" s="1" t="s">
        <v>15</v>
      </c>
      <c r="G12" s="1" t="s">
        <v>38</v>
      </c>
      <c r="H12" s="1" t="s">
        <v>584</v>
      </c>
      <c r="I12" s="2" t="s">
        <v>39</v>
      </c>
      <c r="J12" s="1" t="s">
        <v>928</v>
      </c>
      <c r="K12" s="2" t="s">
        <v>585</v>
      </c>
      <c r="L12" s="2" t="s">
        <v>586</v>
      </c>
      <c r="M12" s="1" t="s">
        <v>587</v>
      </c>
      <c r="N12" s="1" t="s">
        <v>588</v>
      </c>
      <c r="O12" s="1" t="s">
        <v>546</v>
      </c>
      <c r="P12" s="1" t="s">
        <v>454</v>
      </c>
    </row>
    <row r="13" spans="1:16" ht="29.5" thickBot="1" x14ac:dyDescent="0.4">
      <c r="A13" s="1" t="s">
        <v>589</v>
      </c>
      <c r="B13" s="1" t="s">
        <v>491</v>
      </c>
      <c r="C13" s="1" t="s">
        <v>590</v>
      </c>
      <c r="D13" s="1" t="s">
        <v>591</v>
      </c>
      <c r="E13" s="1" t="s">
        <v>72</v>
      </c>
      <c r="F13" s="1" t="s">
        <v>15</v>
      </c>
      <c r="G13" s="1" t="s">
        <v>592</v>
      </c>
      <c r="H13" s="1" t="s">
        <v>928</v>
      </c>
      <c r="I13" s="2" t="s">
        <v>593</v>
      </c>
      <c r="J13" s="1" t="s">
        <v>928</v>
      </c>
      <c r="K13" s="1" t="s">
        <v>928</v>
      </c>
      <c r="L13" s="2" t="s">
        <v>594</v>
      </c>
      <c r="M13" s="1" t="s">
        <v>595</v>
      </c>
      <c r="N13" s="1" t="s">
        <v>596</v>
      </c>
      <c r="O13" s="1" t="s">
        <v>597</v>
      </c>
      <c r="P13" s="1" t="s">
        <v>454</v>
      </c>
    </row>
    <row r="14" spans="1:16" ht="29.5" thickBot="1" x14ac:dyDescent="0.4">
      <c r="A14" s="1" t="s">
        <v>598</v>
      </c>
      <c r="B14" s="1" t="s">
        <v>491</v>
      </c>
      <c r="C14" s="1" t="s">
        <v>599</v>
      </c>
      <c r="D14" s="1" t="s">
        <v>600</v>
      </c>
      <c r="E14" s="1" t="s">
        <v>72</v>
      </c>
      <c r="F14" s="1" t="s">
        <v>15</v>
      </c>
      <c r="G14" s="1" t="s">
        <v>928</v>
      </c>
      <c r="H14" s="1" t="s">
        <v>928</v>
      </c>
      <c r="I14" s="1" t="s">
        <v>928</v>
      </c>
      <c r="J14" s="1" t="s">
        <v>928</v>
      </c>
      <c r="K14" s="1" t="s">
        <v>928</v>
      </c>
      <c r="L14" s="2" t="s">
        <v>601</v>
      </c>
      <c r="M14" s="1" t="s">
        <v>602</v>
      </c>
      <c r="N14" s="1" t="s">
        <v>603</v>
      </c>
      <c r="O14" s="1" t="s">
        <v>546</v>
      </c>
      <c r="P14" s="1" t="s">
        <v>455</v>
      </c>
    </row>
    <row r="15" spans="1:16" ht="39" thickBot="1" x14ac:dyDescent="0.4">
      <c r="A15" s="1" t="s">
        <v>604</v>
      </c>
      <c r="B15" s="1" t="s">
        <v>491</v>
      </c>
      <c r="C15" s="1" t="s">
        <v>605</v>
      </c>
      <c r="D15" s="1" t="s">
        <v>606</v>
      </c>
      <c r="E15" s="1" t="s">
        <v>287</v>
      </c>
      <c r="F15" s="1" t="s">
        <v>15</v>
      </c>
      <c r="G15" s="1" t="s">
        <v>607</v>
      </c>
      <c r="H15" s="1" t="s">
        <v>928</v>
      </c>
      <c r="I15" s="1" t="s">
        <v>928</v>
      </c>
      <c r="J15" s="1" t="s">
        <v>928</v>
      </c>
      <c r="K15" s="1" t="s">
        <v>928</v>
      </c>
      <c r="L15" s="2" t="s">
        <v>608</v>
      </c>
      <c r="M15" s="1" t="s">
        <v>544</v>
      </c>
      <c r="N15" s="1" t="s">
        <v>609</v>
      </c>
      <c r="O15" s="1" t="s">
        <v>546</v>
      </c>
      <c r="P15" s="1" t="s">
        <v>455</v>
      </c>
    </row>
    <row r="16" spans="1:16" ht="44" thickBot="1" x14ac:dyDescent="0.4">
      <c r="A16" s="1" t="s">
        <v>610</v>
      </c>
      <c r="B16" s="1" t="s">
        <v>491</v>
      </c>
      <c r="C16" s="1" t="s">
        <v>611</v>
      </c>
      <c r="D16" s="1" t="s">
        <v>612</v>
      </c>
      <c r="E16" s="1" t="s">
        <v>51</v>
      </c>
      <c r="F16" s="1" t="s">
        <v>15</v>
      </c>
      <c r="G16" s="1" t="s">
        <v>42</v>
      </c>
      <c r="H16" s="1" t="s">
        <v>465</v>
      </c>
      <c r="I16" s="2" t="s">
        <v>43</v>
      </c>
      <c r="J16" s="1" t="s">
        <v>928</v>
      </c>
      <c r="K16" s="2" t="s">
        <v>613</v>
      </c>
      <c r="L16" s="2" t="s">
        <v>614</v>
      </c>
      <c r="M16" s="1" t="s">
        <v>615</v>
      </c>
      <c r="N16" s="1" t="s">
        <v>603</v>
      </c>
      <c r="O16" s="1" t="s">
        <v>546</v>
      </c>
      <c r="P16" s="1" t="s">
        <v>454</v>
      </c>
    </row>
    <row r="17" spans="1:16" ht="44" thickBot="1" x14ac:dyDescent="0.4">
      <c r="A17" s="1" t="s">
        <v>616</v>
      </c>
      <c r="B17" s="1" t="s">
        <v>491</v>
      </c>
      <c r="C17" s="1" t="s">
        <v>376</v>
      </c>
      <c r="D17" s="1" t="s">
        <v>442</v>
      </c>
      <c r="E17" s="1" t="s">
        <v>122</v>
      </c>
      <c r="F17" s="1" t="s">
        <v>15</v>
      </c>
      <c r="G17" s="1" t="s">
        <v>42</v>
      </c>
      <c r="H17" s="1" t="s">
        <v>465</v>
      </c>
      <c r="I17" s="2" t="s">
        <v>43</v>
      </c>
      <c r="J17" s="1" t="s">
        <v>928</v>
      </c>
      <c r="K17" s="2" t="s">
        <v>613</v>
      </c>
      <c r="L17" s="2" t="s">
        <v>617</v>
      </c>
      <c r="M17" s="1" t="s">
        <v>602</v>
      </c>
      <c r="N17" s="1" t="s">
        <v>618</v>
      </c>
      <c r="O17" s="1" t="s">
        <v>546</v>
      </c>
      <c r="P17" s="1" t="s">
        <v>454</v>
      </c>
    </row>
    <row r="18" spans="1:16" ht="44" thickBot="1" x14ac:dyDescent="0.4">
      <c r="A18" s="1" t="s">
        <v>324</v>
      </c>
      <c r="B18" s="1" t="s">
        <v>491</v>
      </c>
      <c r="C18" s="1" t="s">
        <v>619</v>
      </c>
      <c r="D18" s="1" t="s">
        <v>620</v>
      </c>
      <c r="E18" s="1" t="s">
        <v>621</v>
      </c>
      <c r="F18" s="1" t="s">
        <v>15</v>
      </c>
      <c r="G18" s="1" t="s">
        <v>147</v>
      </c>
      <c r="H18" s="1" t="s">
        <v>472</v>
      </c>
      <c r="I18" s="2" t="s">
        <v>148</v>
      </c>
      <c r="J18" s="1" t="s">
        <v>928</v>
      </c>
      <c r="K18" s="2" t="s">
        <v>622</v>
      </c>
      <c r="L18" s="2" t="s">
        <v>623</v>
      </c>
      <c r="M18" s="1" t="s">
        <v>624</v>
      </c>
      <c r="N18" s="1" t="s">
        <v>539</v>
      </c>
      <c r="O18" s="1" t="s">
        <v>540</v>
      </c>
      <c r="P18" s="1" t="s">
        <v>454</v>
      </c>
    </row>
    <row r="19" spans="1:16" ht="44" thickBot="1" x14ac:dyDescent="0.4">
      <c r="A19" s="1" t="s">
        <v>625</v>
      </c>
      <c r="B19" s="1" t="s">
        <v>491</v>
      </c>
      <c r="C19" s="1" t="s">
        <v>626</v>
      </c>
      <c r="D19" s="1" t="s">
        <v>438</v>
      </c>
      <c r="E19" s="1" t="s">
        <v>627</v>
      </c>
      <c r="F19" s="1" t="s">
        <v>15</v>
      </c>
      <c r="G19" s="1" t="s">
        <v>440</v>
      </c>
      <c r="H19" s="1" t="s">
        <v>472</v>
      </c>
      <c r="I19" s="2" t="s">
        <v>148</v>
      </c>
      <c r="J19" s="1" t="s">
        <v>928</v>
      </c>
      <c r="K19" s="2" t="s">
        <v>622</v>
      </c>
      <c r="L19" s="2" t="s">
        <v>628</v>
      </c>
      <c r="M19" s="1" t="s">
        <v>629</v>
      </c>
      <c r="N19" s="1" t="s">
        <v>539</v>
      </c>
      <c r="O19" s="1" t="s">
        <v>546</v>
      </c>
      <c r="P19" s="1" t="s">
        <v>454</v>
      </c>
    </row>
    <row r="20" spans="1:16" ht="44" thickBot="1" x14ac:dyDescent="0.4">
      <c r="A20" s="1" t="s">
        <v>630</v>
      </c>
      <c r="B20" s="1" t="s">
        <v>491</v>
      </c>
      <c r="C20" s="1" t="s">
        <v>631</v>
      </c>
      <c r="D20" s="1" t="s">
        <v>632</v>
      </c>
      <c r="E20" s="1" t="s">
        <v>78</v>
      </c>
      <c r="F20" s="1" t="s">
        <v>15</v>
      </c>
      <c r="G20" s="1" t="s">
        <v>633</v>
      </c>
      <c r="H20" s="1" t="s">
        <v>634</v>
      </c>
      <c r="I20" s="2" t="s">
        <v>635</v>
      </c>
      <c r="J20" s="2" t="s">
        <v>636</v>
      </c>
      <c r="K20" s="2" t="s">
        <v>637</v>
      </c>
      <c r="L20" s="2" t="s">
        <v>638</v>
      </c>
      <c r="M20" s="1" t="s">
        <v>639</v>
      </c>
      <c r="N20" s="1" t="s">
        <v>640</v>
      </c>
      <c r="O20" s="1" t="s">
        <v>641</v>
      </c>
      <c r="P20" s="1" t="s">
        <v>454</v>
      </c>
    </row>
    <row r="21" spans="1:16" ht="44" thickBot="1" x14ac:dyDescent="0.4">
      <c r="A21" s="1" t="s">
        <v>642</v>
      </c>
      <c r="B21" s="1" t="s">
        <v>491</v>
      </c>
      <c r="C21" s="1" t="s">
        <v>376</v>
      </c>
      <c r="D21" s="1" t="s">
        <v>643</v>
      </c>
      <c r="E21" s="1" t="s">
        <v>151</v>
      </c>
      <c r="F21" s="1" t="s">
        <v>15</v>
      </c>
      <c r="G21" s="1" t="s">
        <v>644</v>
      </c>
      <c r="H21" s="1" t="s">
        <v>645</v>
      </c>
      <c r="I21" s="2" t="s">
        <v>646</v>
      </c>
      <c r="J21" s="2" t="s">
        <v>636</v>
      </c>
      <c r="K21" s="2" t="s">
        <v>637</v>
      </c>
      <c r="L21" s="2" t="s">
        <v>647</v>
      </c>
      <c r="M21" s="1" t="s">
        <v>648</v>
      </c>
      <c r="N21" s="1" t="s">
        <v>640</v>
      </c>
      <c r="O21" s="1" t="s">
        <v>540</v>
      </c>
      <c r="P21" s="1" t="s">
        <v>454</v>
      </c>
    </row>
    <row r="22" spans="1:16" ht="29.5" thickBot="1" x14ac:dyDescent="0.4">
      <c r="A22" s="1" t="s">
        <v>649</v>
      </c>
      <c r="B22" s="1" t="s">
        <v>491</v>
      </c>
      <c r="C22" s="1" t="s">
        <v>650</v>
      </c>
      <c r="D22" s="1" t="s">
        <v>651</v>
      </c>
      <c r="E22" s="1" t="s">
        <v>14</v>
      </c>
      <c r="F22" s="1" t="s">
        <v>15</v>
      </c>
      <c r="G22" s="1" t="s">
        <v>450</v>
      </c>
      <c r="H22" s="1" t="s">
        <v>453</v>
      </c>
      <c r="I22" s="2" t="s">
        <v>451</v>
      </c>
      <c r="J22" s="1" t="s">
        <v>928</v>
      </c>
      <c r="K22" s="1" t="s">
        <v>928</v>
      </c>
      <c r="L22" s="2" t="s">
        <v>652</v>
      </c>
      <c r="M22" s="1" t="s">
        <v>653</v>
      </c>
      <c r="N22" s="1" t="s">
        <v>654</v>
      </c>
      <c r="O22" s="1" t="s">
        <v>546</v>
      </c>
      <c r="P22" s="1" t="s">
        <v>454</v>
      </c>
    </row>
    <row r="23" spans="1:16" ht="44" thickBot="1" x14ac:dyDescent="0.4">
      <c r="A23" s="1" t="s">
        <v>655</v>
      </c>
      <c r="B23" s="1" t="s">
        <v>491</v>
      </c>
      <c r="C23" s="1" t="s">
        <v>656</v>
      </c>
      <c r="D23" s="1" t="s">
        <v>657</v>
      </c>
      <c r="E23" s="1" t="s">
        <v>658</v>
      </c>
      <c r="F23" s="1" t="s">
        <v>15</v>
      </c>
      <c r="G23" s="1" t="s">
        <v>659</v>
      </c>
      <c r="H23" s="1" t="s">
        <v>660</v>
      </c>
      <c r="I23" s="2" t="s">
        <v>661</v>
      </c>
      <c r="J23" s="2" t="s">
        <v>662</v>
      </c>
      <c r="K23" s="2" t="s">
        <v>663</v>
      </c>
      <c r="L23" s="2" t="s">
        <v>664</v>
      </c>
      <c r="M23" s="1" t="s">
        <v>665</v>
      </c>
      <c r="N23" s="1" t="s">
        <v>666</v>
      </c>
      <c r="O23" s="1" t="s">
        <v>667</v>
      </c>
      <c r="P23" s="1" t="s">
        <v>454</v>
      </c>
    </row>
    <row r="24" spans="1:16" ht="39" thickBot="1" x14ac:dyDescent="0.4">
      <c r="A24" s="1" t="s">
        <v>140</v>
      </c>
      <c r="B24" s="1" t="s">
        <v>491</v>
      </c>
      <c r="C24" s="1" t="s">
        <v>12</v>
      </c>
      <c r="D24" s="1" t="s">
        <v>668</v>
      </c>
      <c r="E24" s="1" t="s">
        <v>326</v>
      </c>
      <c r="F24" s="1" t="s">
        <v>15</v>
      </c>
      <c r="G24" s="1" t="s">
        <v>143</v>
      </c>
      <c r="H24" s="1" t="s">
        <v>928</v>
      </c>
      <c r="I24" s="1" t="s">
        <v>928</v>
      </c>
      <c r="J24" s="1" t="s">
        <v>928</v>
      </c>
      <c r="K24" s="1" t="s">
        <v>928</v>
      </c>
      <c r="L24" s="2" t="s">
        <v>669</v>
      </c>
      <c r="M24" s="1" t="s">
        <v>670</v>
      </c>
      <c r="N24" s="1" t="s">
        <v>671</v>
      </c>
      <c r="O24" s="1" t="s">
        <v>546</v>
      </c>
      <c r="P24" s="1" t="s">
        <v>454</v>
      </c>
    </row>
    <row r="25" spans="1:16" ht="44" thickBot="1" x14ac:dyDescent="0.4">
      <c r="A25" s="1" t="s">
        <v>89</v>
      </c>
      <c r="B25" s="1" t="s">
        <v>491</v>
      </c>
      <c r="C25" s="1" t="s">
        <v>376</v>
      </c>
      <c r="D25" s="1" t="s">
        <v>672</v>
      </c>
      <c r="E25" s="1" t="s">
        <v>673</v>
      </c>
      <c r="F25" s="1" t="s">
        <v>15</v>
      </c>
      <c r="G25" s="1" t="s">
        <v>92</v>
      </c>
      <c r="H25" s="1" t="s">
        <v>674</v>
      </c>
      <c r="I25" s="1" t="s">
        <v>928</v>
      </c>
      <c r="J25" s="2" t="s">
        <v>675</v>
      </c>
      <c r="K25" s="1" t="s">
        <v>928</v>
      </c>
      <c r="L25" s="2" t="s">
        <v>676</v>
      </c>
      <c r="M25" s="1" t="s">
        <v>670</v>
      </c>
      <c r="N25" s="1" t="s">
        <v>603</v>
      </c>
      <c r="O25" s="1" t="s">
        <v>546</v>
      </c>
      <c r="P25" s="1" t="s">
        <v>454</v>
      </c>
    </row>
    <row r="26" spans="1:16" ht="44" thickBot="1" x14ac:dyDescent="0.4">
      <c r="A26" s="1" t="s">
        <v>677</v>
      </c>
      <c r="B26" s="1" t="s">
        <v>491</v>
      </c>
      <c r="C26" s="1" t="s">
        <v>297</v>
      </c>
      <c r="D26" s="1" t="s">
        <v>678</v>
      </c>
      <c r="E26" s="1" t="s">
        <v>679</v>
      </c>
      <c r="F26" s="1" t="s">
        <v>15</v>
      </c>
      <c r="G26" s="1" t="s">
        <v>680</v>
      </c>
      <c r="H26" s="1" t="s">
        <v>681</v>
      </c>
      <c r="I26" s="2" t="s">
        <v>682</v>
      </c>
      <c r="J26" s="2" t="s">
        <v>683</v>
      </c>
      <c r="K26" s="1" t="s">
        <v>928</v>
      </c>
      <c r="L26" s="2" t="s">
        <v>684</v>
      </c>
      <c r="M26" s="1" t="s">
        <v>685</v>
      </c>
      <c r="N26" s="1" t="s">
        <v>686</v>
      </c>
      <c r="O26" s="1" t="s">
        <v>687</v>
      </c>
      <c r="P26" s="1" t="s">
        <v>454</v>
      </c>
    </row>
    <row r="27" spans="1:16" ht="44" thickBot="1" x14ac:dyDescent="0.4">
      <c r="A27" s="1" t="s">
        <v>688</v>
      </c>
      <c r="B27" s="1" t="s">
        <v>491</v>
      </c>
      <c r="C27" s="1" t="s">
        <v>492</v>
      </c>
      <c r="D27" s="1" t="s">
        <v>689</v>
      </c>
      <c r="E27" s="1" t="s">
        <v>690</v>
      </c>
      <c r="F27" s="1" t="s">
        <v>15</v>
      </c>
      <c r="G27" s="1" t="s">
        <v>691</v>
      </c>
      <c r="H27" s="1" t="s">
        <v>692</v>
      </c>
      <c r="I27" s="1" t="s">
        <v>928</v>
      </c>
      <c r="J27" s="2" t="s">
        <v>693</v>
      </c>
      <c r="K27" s="1" t="s">
        <v>928</v>
      </c>
      <c r="L27" s="2" t="s">
        <v>694</v>
      </c>
      <c r="M27" s="1" t="s">
        <v>570</v>
      </c>
      <c r="N27" s="1" t="s">
        <v>539</v>
      </c>
      <c r="O27" s="1" t="s">
        <v>695</v>
      </c>
      <c r="P27" s="1" t="s">
        <v>454</v>
      </c>
    </row>
    <row r="28" spans="1:16" ht="39" thickBot="1" x14ac:dyDescent="0.4">
      <c r="A28" s="1" t="s">
        <v>696</v>
      </c>
      <c r="B28" s="1" t="s">
        <v>491</v>
      </c>
      <c r="C28" s="1" t="s">
        <v>12</v>
      </c>
      <c r="D28" s="1" t="s">
        <v>697</v>
      </c>
      <c r="E28" s="1" t="s">
        <v>332</v>
      </c>
      <c r="F28" s="1" t="s">
        <v>15</v>
      </c>
      <c r="G28" s="1" t="s">
        <v>698</v>
      </c>
      <c r="H28" s="1" t="s">
        <v>928</v>
      </c>
      <c r="I28" s="1" t="s">
        <v>928</v>
      </c>
      <c r="J28" s="1" t="s">
        <v>928</v>
      </c>
      <c r="K28" s="1" t="s">
        <v>928</v>
      </c>
      <c r="L28" s="2" t="s">
        <v>699</v>
      </c>
      <c r="M28" s="1" t="s">
        <v>670</v>
      </c>
      <c r="N28" s="1" t="s">
        <v>700</v>
      </c>
      <c r="O28" s="1" t="s">
        <v>546</v>
      </c>
      <c r="P28" s="1" t="s">
        <v>455</v>
      </c>
    </row>
    <row r="29" spans="1:16" ht="44" thickBot="1" x14ac:dyDescent="0.4">
      <c r="A29" s="1" t="s">
        <v>357</v>
      </c>
      <c r="B29" s="1" t="s">
        <v>491</v>
      </c>
      <c r="C29" s="1" t="s">
        <v>297</v>
      </c>
      <c r="D29" s="1" t="s">
        <v>358</v>
      </c>
      <c r="E29" s="1" t="s">
        <v>172</v>
      </c>
      <c r="F29" s="1" t="s">
        <v>15</v>
      </c>
      <c r="G29" s="1" t="s">
        <v>701</v>
      </c>
      <c r="H29" s="1" t="s">
        <v>702</v>
      </c>
      <c r="I29" s="1" t="s">
        <v>928</v>
      </c>
      <c r="J29" s="1" t="s">
        <v>928</v>
      </c>
      <c r="K29" s="2" t="s">
        <v>703</v>
      </c>
      <c r="L29" s="2" t="s">
        <v>704</v>
      </c>
      <c r="M29" s="1" t="s">
        <v>705</v>
      </c>
      <c r="N29" s="1" t="s">
        <v>706</v>
      </c>
      <c r="O29" s="1" t="s">
        <v>540</v>
      </c>
      <c r="P29" s="1" t="s">
        <v>454</v>
      </c>
    </row>
    <row r="30" spans="1:16" ht="44" thickBot="1" x14ac:dyDescent="0.4">
      <c r="A30" s="1" t="s">
        <v>191</v>
      </c>
      <c r="B30" s="1" t="s">
        <v>491</v>
      </c>
      <c r="C30" s="1" t="s">
        <v>12</v>
      </c>
      <c r="D30" s="1" t="s">
        <v>707</v>
      </c>
      <c r="E30" s="1" t="s">
        <v>172</v>
      </c>
      <c r="F30" s="1" t="s">
        <v>15</v>
      </c>
      <c r="G30" s="1" t="s">
        <v>193</v>
      </c>
      <c r="H30" s="1" t="s">
        <v>708</v>
      </c>
      <c r="I30" s="2" t="s">
        <v>194</v>
      </c>
      <c r="J30" s="1" t="s">
        <v>928</v>
      </c>
      <c r="K30" s="2" t="s">
        <v>709</v>
      </c>
      <c r="L30" s="2" t="s">
        <v>710</v>
      </c>
      <c r="M30" s="1" t="s">
        <v>670</v>
      </c>
      <c r="N30" s="1" t="s">
        <v>539</v>
      </c>
      <c r="O30" s="1" t="s">
        <v>540</v>
      </c>
      <c r="P30" s="1" t="s">
        <v>454</v>
      </c>
    </row>
    <row r="31" spans="1:16" ht="44" thickBot="1" x14ac:dyDescent="0.4">
      <c r="A31" s="1" t="s">
        <v>711</v>
      </c>
      <c r="B31" s="1" t="s">
        <v>491</v>
      </c>
      <c r="C31" s="1" t="s">
        <v>492</v>
      </c>
      <c r="D31" s="1" t="s">
        <v>712</v>
      </c>
      <c r="E31" s="1" t="s">
        <v>172</v>
      </c>
      <c r="F31" s="1" t="s">
        <v>15</v>
      </c>
      <c r="G31" s="1" t="s">
        <v>701</v>
      </c>
      <c r="H31" s="1" t="s">
        <v>713</v>
      </c>
      <c r="I31" s="1" t="s">
        <v>928</v>
      </c>
      <c r="J31" s="2" t="s">
        <v>714</v>
      </c>
      <c r="K31" s="1" t="s">
        <v>928</v>
      </c>
      <c r="L31" s="2" t="s">
        <v>715</v>
      </c>
      <c r="M31" s="1" t="s">
        <v>570</v>
      </c>
      <c r="N31" s="1" t="s">
        <v>539</v>
      </c>
      <c r="O31" s="1" t="s">
        <v>540</v>
      </c>
      <c r="P31" s="1" t="s">
        <v>454</v>
      </c>
    </row>
    <row r="32" spans="1:16" ht="29.5" thickBot="1" x14ac:dyDescent="0.4">
      <c r="A32" s="1" t="s">
        <v>187</v>
      </c>
      <c r="B32" s="1" t="s">
        <v>491</v>
      </c>
      <c r="C32" s="1" t="s">
        <v>292</v>
      </c>
      <c r="D32" s="1" t="s">
        <v>188</v>
      </c>
      <c r="E32" s="1" t="s">
        <v>172</v>
      </c>
      <c r="F32" s="1" t="s">
        <v>15</v>
      </c>
      <c r="G32" s="1" t="s">
        <v>189</v>
      </c>
      <c r="H32" s="1" t="s">
        <v>928</v>
      </c>
      <c r="I32" s="1" t="s">
        <v>928</v>
      </c>
      <c r="J32" s="1" t="s">
        <v>928</v>
      </c>
      <c r="K32" s="1" t="s">
        <v>928</v>
      </c>
      <c r="L32" s="2" t="s">
        <v>716</v>
      </c>
      <c r="M32" s="1" t="s">
        <v>717</v>
      </c>
      <c r="N32" s="1" t="s">
        <v>588</v>
      </c>
      <c r="O32" s="1" t="s">
        <v>546</v>
      </c>
      <c r="P32" s="1" t="s">
        <v>455</v>
      </c>
    </row>
    <row r="33" spans="1:16" ht="44" thickBot="1" x14ac:dyDescent="0.4">
      <c r="A33" s="1" t="s">
        <v>183</v>
      </c>
      <c r="B33" s="1" t="s">
        <v>491</v>
      </c>
      <c r="C33" s="1" t="s">
        <v>12</v>
      </c>
      <c r="D33" s="1" t="s">
        <v>184</v>
      </c>
      <c r="E33" s="1" t="s">
        <v>172</v>
      </c>
      <c r="F33" s="1" t="s">
        <v>15</v>
      </c>
      <c r="G33" s="1" t="s">
        <v>185</v>
      </c>
      <c r="H33" s="1" t="s">
        <v>475</v>
      </c>
      <c r="I33" s="2" t="s">
        <v>186</v>
      </c>
      <c r="J33" s="1" t="s">
        <v>928</v>
      </c>
      <c r="K33" s="2" t="s">
        <v>718</v>
      </c>
      <c r="L33" s="2" t="s">
        <v>719</v>
      </c>
      <c r="M33" s="1" t="s">
        <v>624</v>
      </c>
      <c r="N33" s="1" t="s">
        <v>539</v>
      </c>
      <c r="O33" s="1" t="s">
        <v>540</v>
      </c>
      <c r="P33" s="1" t="s">
        <v>454</v>
      </c>
    </row>
    <row r="34" spans="1:16" ht="44" thickBot="1" x14ac:dyDescent="0.4">
      <c r="A34" s="1" t="s">
        <v>720</v>
      </c>
      <c r="B34" s="1" t="s">
        <v>491</v>
      </c>
      <c r="C34" s="1" t="s">
        <v>12</v>
      </c>
      <c r="D34" s="1" t="s">
        <v>721</v>
      </c>
      <c r="E34" s="1" t="s">
        <v>722</v>
      </c>
      <c r="F34" s="1" t="s">
        <v>15</v>
      </c>
      <c r="G34" s="1" t="s">
        <v>723</v>
      </c>
      <c r="H34" s="1" t="s">
        <v>928</v>
      </c>
      <c r="I34" s="1" t="s">
        <v>928</v>
      </c>
      <c r="J34" s="2" t="s">
        <v>724</v>
      </c>
      <c r="K34" s="1" t="s">
        <v>928</v>
      </c>
      <c r="L34" s="2" t="s">
        <v>725</v>
      </c>
      <c r="M34" s="1" t="s">
        <v>624</v>
      </c>
      <c r="N34" s="1" t="s">
        <v>726</v>
      </c>
      <c r="O34" s="1" t="s">
        <v>546</v>
      </c>
      <c r="P34" s="1" t="s">
        <v>454</v>
      </c>
    </row>
    <row r="35" spans="1:16" ht="29.5" thickBot="1" x14ac:dyDescent="0.4">
      <c r="A35" s="1" t="s">
        <v>727</v>
      </c>
      <c r="B35" s="1" t="s">
        <v>491</v>
      </c>
      <c r="C35" s="1" t="s">
        <v>292</v>
      </c>
      <c r="D35" s="1" t="s">
        <v>728</v>
      </c>
      <c r="E35" s="1" t="s">
        <v>172</v>
      </c>
      <c r="F35" s="1" t="s">
        <v>15</v>
      </c>
      <c r="G35" s="1" t="s">
        <v>729</v>
      </c>
      <c r="H35" s="1" t="s">
        <v>928</v>
      </c>
      <c r="I35" s="1" t="s">
        <v>928</v>
      </c>
      <c r="J35" s="1" t="s">
        <v>928</v>
      </c>
      <c r="K35" s="1" t="s">
        <v>928</v>
      </c>
      <c r="L35" s="2" t="s">
        <v>730</v>
      </c>
      <c r="M35" s="1" t="s">
        <v>717</v>
      </c>
      <c r="N35" s="1" t="s">
        <v>731</v>
      </c>
      <c r="O35" s="1" t="s">
        <v>732</v>
      </c>
      <c r="P35" s="1" t="s">
        <v>454</v>
      </c>
    </row>
    <row r="36" spans="1:16" ht="44" thickBot="1" x14ac:dyDescent="0.4">
      <c r="A36" s="1" t="s">
        <v>733</v>
      </c>
      <c r="B36" s="1" t="s">
        <v>491</v>
      </c>
      <c r="C36" s="1" t="s">
        <v>502</v>
      </c>
      <c r="D36" s="1" t="s">
        <v>734</v>
      </c>
      <c r="E36" s="1" t="s">
        <v>735</v>
      </c>
      <c r="F36" s="1" t="s">
        <v>15</v>
      </c>
      <c r="G36" s="1" t="s">
        <v>736</v>
      </c>
      <c r="H36" s="1" t="s">
        <v>737</v>
      </c>
      <c r="I36" s="1" t="s">
        <v>928</v>
      </c>
      <c r="J36" s="2" t="s">
        <v>738</v>
      </c>
      <c r="K36" s="1" t="s">
        <v>928</v>
      </c>
      <c r="L36" s="2" t="s">
        <v>739</v>
      </c>
      <c r="M36" s="1" t="s">
        <v>740</v>
      </c>
      <c r="N36" s="1" t="s">
        <v>571</v>
      </c>
      <c r="O36" s="1" t="s">
        <v>741</v>
      </c>
      <c r="P36" s="1" t="s">
        <v>454</v>
      </c>
    </row>
    <row r="37" spans="1:16" ht="44" thickBot="1" x14ac:dyDescent="0.4">
      <c r="A37" s="1" t="s">
        <v>742</v>
      </c>
      <c r="B37" s="1" t="s">
        <v>491</v>
      </c>
      <c r="C37" s="1" t="s">
        <v>492</v>
      </c>
      <c r="D37" s="1" t="s">
        <v>743</v>
      </c>
      <c r="E37" s="1" t="s">
        <v>219</v>
      </c>
      <c r="F37" s="1" t="s">
        <v>15</v>
      </c>
      <c r="G37" s="1" t="s">
        <v>744</v>
      </c>
      <c r="H37" s="1" t="s">
        <v>745</v>
      </c>
      <c r="I37" s="1" t="s">
        <v>928</v>
      </c>
      <c r="J37" s="2" t="s">
        <v>746</v>
      </c>
      <c r="K37" s="1" t="s">
        <v>928</v>
      </c>
      <c r="L37" s="2" t="s">
        <v>747</v>
      </c>
      <c r="M37" s="1" t="s">
        <v>552</v>
      </c>
      <c r="N37" s="1" t="s">
        <v>748</v>
      </c>
      <c r="O37" s="1" t="s">
        <v>540</v>
      </c>
      <c r="P37" s="1" t="s">
        <v>454</v>
      </c>
    </row>
    <row r="38" spans="1:16" ht="39" thickBot="1" x14ac:dyDescent="0.4">
      <c r="A38" s="1" t="s">
        <v>749</v>
      </c>
      <c r="B38" s="1" t="s">
        <v>491</v>
      </c>
      <c r="C38" s="1" t="s">
        <v>750</v>
      </c>
      <c r="D38" s="1" t="s">
        <v>751</v>
      </c>
      <c r="E38" s="1" t="s">
        <v>752</v>
      </c>
      <c r="F38" s="1" t="s">
        <v>15</v>
      </c>
      <c r="G38" s="1" t="s">
        <v>753</v>
      </c>
      <c r="H38" s="1" t="s">
        <v>928</v>
      </c>
      <c r="I38" s="2" t="s">
        <v>754</v>
      </c>
      <c r="J38" s="1" t="s">
        <v>928</v>
      </c>
      <c r="K38" s="1" t="s">
        <v>928</v>
      </c>
      <c r="L38" s="2" t="s">
        <v>755</v>
      </c>
      <c r="M38" s="1" t="s">
        <v>756</v>
      </c>
      <c r="N38" s="1" t="s">
        <v>757</v>
      </c>
      <c r="O38" s="1" t="s">
        <v>758</v>
      </c>
      <c r="P38" s="1" t="s">
        <v>454</v>
      </c>
    </row>
    <row r="39" spans="1:16" ht="44" thickBot="1" x14ac:dyDescent="0.4">
      <c r="A39" s="1" t="s">
        <v>759</v>
      </c>
      <c r="B39" s="1" t="s">
        <v>491</v>
      </c>
      <c r="C39" s="1" t="s">
        <v>760</v>
      </c>
      <c r="D39" s="1" t="s">
        <v>761</v>
      </c>
      <c r="E39" s="1" t="s">
        <v>762</v>
      </c>
      <c r="F39" s="1" t="s">
        <v>15</v>
      </c>
      <c r="G39" s="1" t="s">
        <v>763</v>
      </c>
      <c r="H39" s="1" t="s">
        <v>928</v>
      </c>
      <c r="I39" s="1" t="s">
        <v>928</v>
      </c>
      <c r="J39" s="2" t="s">
        <v>764</v>
      </c>
      <c r="K39" s="1" t="s">
        <v>928</v>
      </c>
      <c r="L39" s="2" t="s">
        <v>765</v>
      </c>
      <c r="M39" s="1" t="s">
        <v>766</v>
      </c>
      <c r="N39" s="1" t="s">
        <v>767</v>
      </c>
      <c r="O39" s="1" t="s">
        <v>540</v>
      </c>
      <c r="P39" s="1" t="s">
        <v>454</v>
      </c>
    </row>
    <row r="40" spans="1:16" ht="44" thickBot="1" x14ac:dyDescent="0.4">
      <c r="A40" s="1" t="s">
        <v>768</v>
      </c>
      <c r="B40" s="1" t="s">
        <v>491</v>
      </c>
      <c r="C40" s="1" t="s">
        <v>760</v>
      </c>
      <c r="D40" s="1" t="s">
        <v>769</v>
      </c>
      <c r="E40" s="1" t="s">
        <v>770</v>
      </c>
      <c r="F40" s="1" t="s">
        <v>15</v>
      </c>
      <c r="G40" s="1" t="s">
        <v>771</v>
      </c>
      <c r="H40" s="1" t="s">
        <v>928</v>
      </c>
      <c r="I40" s="1" t="s">
        <v>928</v>
      </c>
      <c r="J40" s="2" t="s">
        <v>772</v>
      </c>
      <c r="K40" s="1" t="s">
        <v>928</v>
      </c>
      <c r="L40" s="2" t="s">
        <v>773</v>
      </c>
      <c r="M40" s="1" t="s">
        <v>774</v>
      </c>
      <c r="N40" s="1" t="s">
        <v>775</v>
      </c>
      <c r="O40" s="1" t="s">
        <v>540</v>
      </c>
      <c r="P40" s="1" t="s">
        <v>454</v>
      </c>
    </row>
    <row r="41" spans="1:16" ht="44" thickBot="1" x14ac:dyDescent="0.4">
      <c r="A41" s="1" t="s">
        <v>217</v>
      </c>
      <c r="B41" s="1" t="s">
        <v>491</v>
      </c>
      <c r="C41" s="1" t="s">
        <v>376</v>
      </c>
      <c r="D41" s="1" t="s">
        <v>776</v>
      </c>
      <c r="E41" s="1" t="s">
        <v>414</v>
      </c>
      <c r="F41" s="1" t="s">
        <v>15</v>
      </c>
      <c r="G41" s="1" t="s">
        <v>220</v>
      </c>
      <c r="H41" s="1" t="s">
        <v>478</v>
      </c>
      <c r="I41" s="2" t="s">
        <v>221</v>
      </c>
      <c r="J41" s="2" t="s">
        <v>777</v>
      </c>
      <c r="K41" s="2" t="s">
        <v>778</v>
      </c>
      <c r="L41" s="2" t="s">
        <v>779</v>
      </c>
      <c r="M41" s="1" t="s">
        <v>648</v>
      </c>
      <c r="N41" s="1" t="s">
        <v>706</v>
      </c>
      <c r="O41" s="1" t="s">
        <v>540</v>
      </c>
      <c r="P41" s="1" t="s">
        <v>454</v>
      </c>
    </row>
    <row r="42" spans="1:16" ht="29.5" thickBot="1" x14ac:dyDescent="0.4">
      <c r="A42" s="1" t="s">
        <v>375</v>
      </c>
      <c r="B42" s="1" t="s">
        <v>491</v>
      </c>
      <c r="C42" s="1" t="s">
        <v>376</v>
      </c>
      <c r="D42" s="1" t="s">
        <v>377</v>
      </c>
      <c r="E42" s="1" t="s">
        <v>219</v>
      </c>
      <c r="F42" s="1" t="s">
        <v>15</v>
      </c>
      <c r="G42" s="1" t="s">
        <v>378</v>
      </c>
      <c r="H42" s="1" t="s">
        <v>928</v>
      </c>
      <c r="I42" s="1" t="s">
        <v>928</v>
      </c>
      <c r="J42" s="1" t="s">
        <v>928</v>
      </c>
      <c r="K42" s="1" t="s">
        <v>928</v>
      </c>
      <c r="L42" s="2" t="s">
        <v>780</v>
      </c>
      <c r="M42" s="1" t="s">
        <v>648</v>
      </c>
      <c r="N42" s="1" t="s">
        <v>781</v>
      </c>
      <c r="O42" s="1" t="s">
        <v>546</v>
      </c>
      <c r="P42" s="1" t="s">
        <v>455</v>
      </c>
    </row>
    <row r="43" spans="1:16" ht="58.5" thickBot="1" x14ac:dyDescent="0.4">
      <c r="A43" s="1" t="s">
        <v>782</v>
      </c>
      <c r="B43" s="1" t="s">
        <v>491</v>
      </c>
      <c r="C43" s="1" t="s">
        <v>750</v>
      </c>
      <c r="D43" s="1" t="s">
        <v>783</v>
      </c>
      <c r="E43" s="1" t="s">
        <v>784</v>
      </c>
      <c r="F43" s="1" t="s">
        <v>15</v>
      </c>
      <c r="G43" s="1" t="s">
        <v>785</v>
      </c>
      <c r="H43" s="1" t="s">
        <v>786</v>
      </c>
      <c r="I43" s="2" t="s">
        <v>787</v>
      </c>
      <c r="J43" s="1" t="s">
        <v>928</v>
      </c>
      <c r="K43" s="2" t="s">
        <v>788</v>
      </c>
      <c r="L43" s="2" t="s">
        <v>789</v>
      </c>
      <c r="M43" s="1" t="s">
        <v>790</v>
      </c>
      <c r="N43" s="1" t="s">
        <v>791</v>
      </c>
      <c r="O43" s="1" t="s">
        <v>792</v>
      </c>
      <c r="P43" s="1" t="s">
        <v>454</v>
      </c>
    </row>
    <row r="44" spans="1:16" ht="58.5" thickBot="1" x14ac:dyDescent="0.4">
      <c r="A44" s="1" t="s">
        <v>793</v>
      </c>
      <c r="B44" s="1" t="s">
        <v>491</v>
      </c>
      <c r="C44" s="1" t="s">
        <v>794</v>
      </c>
      <c r="D44" s="1" t="s">
        <v>795</v>
      </c>
      <c r="E44" s="1" t="s">
        <v>796</v>
      </c>
      <c r="F44" s="1" t="s">
        <v>15</v>
      </c>
      <c r="G44" s="1" t="s">
        <v>797</v>
      </c>
      <c r="H44" s="1" t="s">
        <v>798</v>
      </c>
      <c r="I44" s="2" t="s">
        <v>799</v>
      </c>
      <c r="J44" s="1" t="s">
        <v>928</v>
      </c>
      <c r="K44" s="2" t="s">
        <v>800</v>
      </c>
      <c r="L44" s="2" t="s">
        <v>801</v>
      </c>
      <c r="M44" s="1" t="s">
        <v>802</v>
      </c>
      <c r="N44" s="1" t="s">
        <v>803</v>
      </c>
      <c r="O44" s="1" t="s">
        <v>804</v>
      </c>
      <c r="P44" s="1" t="s">
        <v>454</v>
      </c>
    </row>
    <row r="45" spans="1:16" ht="51.5" thickBot="1" x14ac:dyDescent="0.4">
      <c r="A45" s="1" t="s">
        <v>805</v>
      </c>
      <c r="B45" s="1" t="s">
        <v>491</v>
      </c>
      <c r="C45" s="1" t="s">
        <v>806</v>
      </c>
      <c r="D45" s="1" t="s">
        <v>807</v>
      </c>
      <c r="E45" s="1" t="s">
        <v>808</v>
      </c>
      <c r="F45" s="1" t="s">
        <v>15</v>
      </c>
      <c r="G45" s="1" t="s">
        <v>809</v>
      </c>
      <c r="H45" s="1" t="s">
        <v>810</v>
      </c>
      <c r="I45" s="2" t="s">
        <v>811</v>
      </c>
      <c r="J45" s="1" t="s">
        <v>928</v>
      </c>
      <c r="K45" s="2" t="s">
        <v>812</v>
      </c>
      <c r="L45" s="2" t="s">
        <v>813</v>
      </c>
      <c r="M45" s="1" t="s">
        <v>814</v>
      </c>
      <c r="N45" s="1" t="s">
        <v>499</v>
      </c>
      <c r="O45" s="1" t="s">
        <v>815</v>
      </c>
      <c r="P45" s="1" t="s">
        <v>454</v>
      </c>
    </row>
    <row r="46" spans="1:16" ht="29.5" thickBot="1" x14ac:dyDescent="0.4">
      <c r="A46" s="1" t="s">
        <v>816</v>
      </c>
      <c r="B46" s="1" t="s">
        <v>491</v>
      </c>
      <c r="C46" s="1" t="s">
        <v>817</v>
      </c>
      <c r="D46" s="1" t="s">
        <v>818</v>
      </c>
      <c r="E46" s="1" t="s">
        <v>219</v>
      </c>
      <c r="F46" s="1" t="s">
        <v>15</v>
      </c>
      <c r="G46" s="1" t="s">
        <v>410</v>
      </c>
      <c r="H46" s="1" t="s">
        <v>819</v>
      </c>
      <c r="I46" s="1" t="s">
        <v>928</v>
      </c>
      <c r="J46" s="1" t="s">
        <v>928</v>
      </c>
      <c r="K46" s="1" t="s">
        <v>928</v>
      </c>
      <c r="L46" s="2" t="s">
        <v>820</v>
      </c>
      <c r="M46" s="1" t="s">
        <v>821</v>
      </c>
      <c r="N46" s="1" t="s">
        <v>726</v>
      </c>
      <c r="O46" s="1" t="s">
        <v>546</v>
      </c>
      <c r="P46" s="1" t="s">
        <v>454</v>
      </c>
    </row>
    <row r="47" spans="1:16" ht="44" thickBot="1" x14ac:dyDescent="0.4">
      <c r="A47" s="1" t="s">
        <v>822</v>
      </c>
      <c r="B47" s="1" t="s">
        <v>491</v>
      </c>
      <c r="C47" s="1" t="s">
        <v>750</v>
      </c>
      <c r="D47" s="1" t="s">
        <v>823</v>
      </c>
      <c r="E47" s="1" t="s">
        <v>824</v>
      </c>
      <c r="F47" s="1" t="s">
        <v>15</v>
      </c>
      <c r="G47" s="1" t="s">
        <v>825</v>
      </c>
      <c r="H47" s="1" t="s">
        <v>826</v>
      </c>
      <c r="I47" s="2" t="s">
        <v>827</v>
      </c>
      <c r="J47" s="2" t="s">
        <v>828</v>
      </c>
      <c r="K47" s="2" t="s">
        <v>829</v>
      </c>
      <c r="L47" s="2" t="s">
        <v>830</v>
      </c>
      <c r="M47" s="1" t="s">
        <v>831</v>
      </c>
      <c r="N47" s="1" t="s">
        <v>832</v>
      </c>
      <c r="O47" s="1" t="s">
        <v>833</v>
      </c>
      <c r="P47" s="1" t="s">
        <v>454</v>
      </c>
    </row>
    <row r="48" spans="1:16" ht="29.5" thickBot="1" x14ac:dyDescent="0.4">
      <c r="A48" s="1" t="s">
        <v>834</v>
      </c>
      <c r="B48" s="1" t="s">
        <v>491</v>
      </c>
      <c r="C48" s="1" t="s">
        <v>835</v>
      </c>
      <c r="D48" s="1" t="s">
        <v>388</v>
      </c>
      <c r="E48" s="1" t="s">
        <v>836</v>
      </c>
      <c r="F48" s="1" t="s">
        <v>15</v>
      </c>
      <c r="G48" s="1" t="s">
        <v>837</v>
      </c>
      <c r="H48" s="1" t="s">
        <v>928</v>
      </c>
      <c r="I48" s="2" t="s">
        <v>799</v>
      </c>
      <c r="J48" s="1" t="s">
        <v>928</v>
      </c>
      <c r="K48" s="1" t="s">
        <v>928</v>
      </c>
      <c r="L48" s="2" t="s">
        <v>838</v>
      </c>
      <c r="M48" s="1" t="s">
        <v>839</v>
      </c>
      <c r="N48" s="1" t="s">
        <v>840</v>
      </c>
      <c r="O48" s="1" t="s">
        <v>540</v>
      </c>
      <c r="P48" s="1" t="s">
        <v>454</v>
      </c>
    </row>
    <row r="49" spans="1:16" ht="29.5" thickBot="1" x14ac:dyDescent="0.4">
      <c r="A49" s="1" t="s">
        <v>367</v>
      </c>
      <c r="B49" s="1" t="s">
        <v>491</v>
      </c>
      <c r="C49" s="1" t="s">
        <v>376</v>
      </c>
      <c r="D49" s="1" t="s">
        <v>368</v>
      </c>
      <c r="E49" s="1" t="s">
        <v>276</v>
      </c>
      <c r="F49" s="1" t="s">
        <v>15</v>
      </c>
      <c r="G49" s="1" t="s">
        <v>841</v>
      </c>
      <c r="H49" s="1" t="s">
        <v>928</v>
      </c>
      <c r="I49" s="1" t="s">
        <v>928</v>
      </c>
      <c r="J49" s="1" t="s">
        <v>928</v>
      </c>
      <c r="K49" s="1" t="s">
        <v>928</v>
      </c>
      <c r="L49" s="2" t="s">
        <v>842</v>
      </c>
      <c r="M49" s="1" t="s">
        <v>802</v>
      </c>
      <c r="N49" s="1" t="s">
        <v>843</v>
      </c>
      <c r="O49" s="1" t="s">
        <v>546</v>
      </c>
      <c r="P49" s="1" t="s">
        <v>455</v>
      </c>
    </row>
    <row r="50" spans="1:16" ht="39" thickBot="1" x14ac:dyDescent="0.4">
      <c r="A50" s="1" t="s">
        <v>844</v>
      </c>
      <c r="B50" s="1" t="s">
        <v>491</v>
      </c>
      <c r="C50" s="1" t="s">
        <v>845</v>
      </c>
      <c r="D50" s="1" t="s">
        <v>846</v>
      </c>
      <c r="E50" s="1" t="s">
        <v>276</v>
      </c>
      <c r="F50" s="1" t="s">
        <v>15</v>
      </c>
      <c r="G50" s="1" t="s">
        <v>847</v>
      </c>
      <c r="H50" s="1" t="s">
        <v>848</v>
      </c>
      <c r="I50" s="2" t="s">
        <v>366</v>
      </c>
      <c r="J50" s="1" t="s">
        <v>928</v>
      </c>
      <c r="K50" s="1" t="s">
        <v>928</v>
      </c>
      <c r="L50" s="2" t="s">
        <v>849</v>
      </c>
      <c r="M50" s="1" t="s">
        <v>850</v>
      </c>
      <c r="N50" s="1" t="s">
        <v>851</v>
      </c>
      <c r="O50" s="1" t="s">
        <v>540</v>
      </c>
      <c r="P50" s="1" t="s">
        <v>454</v>
      </c>
    </row>
    <row r="51" spans="1:16" ht="44" thickBot="1" x14ac:dyDescent="0.4">
      <c r="A51" s="1" t="s">
        <v>852</v>
      </c>
      <c r="B51" s="1" t="s">
        <v>491</v>
      </c>
      <c r="C51" s="1" t="s">
        <v>297</v>
      </c>
      <c r="D51" s="1" t="s">
        <v>853</v>
      </c>
      <c r="E51" s="1" t="s">
        <v>854</v>
      </c>
      <c r="F51" s="1" t="s">
        <v>15</v>
      </c>
      <c r="G51" s="1" t="s">
        <v>855</v>
      </c>
      <c r="H51" s="1" t="s">
        <v>856</v>
      </c>
      <c r="I51" s="2" t="s">
        <v>857</v>
      </c>
      <c r="J51" s="2" t="s">
        <v>858</v>
      </c>
      <c r="K51" s="1" t="s">
        <v>928</v>
      </c>
      <c r="L51" s="2" t="s">
        <v>859</v>
      </c>
      <c r="M51" s="1" t="s">
        <v>860</v>
      </c>
      <c r="N51" s="1" t="s">
        <v>861</v>
      </c>
      <c r="O51" s="1" t="s">
        <v>862</v>
      </c>
      <c r="P51" s="1" t="s">
        <v>454</v>
      </c>
    </row>
    <row r="52" spans="1:16" ht="44" thickBot="1" x14ac:dyDescent="0.4">
      <c r="A52" s="1" t="s">
        <v>132</v>
      </c>
      <c r="B52" s="1" t="s">
        <v>491</v>
      </c>
      <c r="C52" s="1" t="s">
        <v>376</v>
      </c>
      <c r="D52" s="1" t="s">
        <v>863</v>
      </c>
      <c r="E52" s="1" t="s">
        <v>117</v>
      </c>
      <c r="F52" s="1" t="s">
        <v>15</v>
      </c>
      <c r="G52" s="1" t="s">
        <v>134</v>
      </c>
      <c r="H52" s="1" t="s">
        <v>864</v>
      </c>
      <c r="I52" s="1" t="s">
        <v>928</v>
      </c>
      <c r="J52" s="2" t="s">
        <v>135</v>
      </c>
      <c r="K52" s="1" t="s">
        <v>928</v>
      </c>
      <c r="L52" s="2" t="s">
        <v>865</v>
      </c>
      <c r="M52" s="1" t="s">
        <v>866</v>
      </c>
      <c r="N52" s="1" t="s">
        <v>867</v>
      </c>
      <c r="O52" s="1" t="s">
        <v>540</v>
      </c>
      <c r="P52" s="1" t="s">
        <v>454</v>
      </c>
    </row>
    <row r="53" spans="1:16" ht="29.5" thickBot="1" x14ac:dyDescent="0.4">
      <c r="A53" s="1" t="s">
        <v>868</v>
      </c>
      <c r="B53" s="1" t="s">
        <v>491</v>
      </c>
      <c r="C53" s="1" t="s">
        <v>502</v>
      </c>
      <c r="D53" s="1" t="s">
        <v>869</v>
      </c>
      <c r="E53" s="1" t="s">
        <v>870</v>
      </c>
      <c r="F53" s="1" t="s">
        <v>15</v>
      </c>
      <c r="G53" s="1" t="s">
        <v>97</v>
      </c>
      <c r="H53" s="1" t="s">
        <v>871</v>
      </c>
      <c r="I53" s="2" t="s">
        <v>98</v>
      </c>
      <c r="J53" s="1" t="s">
        <v>928</v>
      </c>
      <c r="K53" s="1" t="s">
        <v>928</v>
      </c>
      <c r="L53" s="2" t="s">
        <v>872</v>
      </c>
      <c r="M53" s="1" t="s">
        <v>873</v>
      </c>
      <c r="N53" s="1" t="s">
        <v>874</v>
      </c>
      <c r="O53" s="1" t="s">
        <v>540</v>
      </c>
      <c r="P53" s="1" t="s">
        <v>454</v>
      </c>
    </row>
    <row r="54" spans="1:16" ht="44" thickBot="1" x14ac:dyDescent="0.4">
      <c r="A54" s="1" t="s">
        <v>875</v>
      </c>
      <c r="B54" s="1" t="s">
        <v>491</v>
      </c>
      <c r="C54" s="1" t="s">
        <v>292</v>
      </c>
      <c r="D54" s="1" t="s">
        <v>103</v>
      </c>
      <c r="E54" s="1" t="s">
        <v>104</v>
      </c>
      <c r="F54" s="1" t="s">
        <v>15</v>
      </c>
      <c r="G54" s="1" t="s">
        <v>105</v>
      </c>
      <c r="H54" s="1" t="s">
        <v>876</v>
      </c>
      <c r="I54" s="1" t="s">
        <v>928</v>
      </c>
      <c r="J54" s="2" t="s">
        <v>877</v>
      </c>
      <c r="K54" s="1" t="s">
        <v>928</v>
      </c>
      <c r="L54" s="2" t="s">
        <v>878</v>
      </c>
      <c r="M54" s="1" t="s">
        <v>879</v>
      </c>
      <c r="N54" s="1" t="s">
        <v>781</v>
      </c>
      <c r="O54" s="1" t="s">
        <v>540</v>
      </c>
      <c r="P54" s="1" t="s">
        <v>454</v>
      </c>
    </row>
    <row r="55" spans="1:16" ht="44" thickBot="1" x14ac:dyDescent="0.4">
      <c r="A55" s="1" t="s">
        <v>880</v>
      </c>
      <c r="B55" s="1" t="s">
        <v>491</v>
      </c>
      <c r="C55" s="1" t="s">
        <v>292</v>
      </c>
      <c r="D55" s="1" t="s">
        <v>881</v>
      </c>
      <c r="E55" s="1" t="s">
        <v>882</v>
      </c>
      <c r="F55" s="1" t="s">
        <v>15</v>
      </c>
      <c r="G55" s="1" t="s">
        <v>841</v>
      </c>
      <c r="H55" s="1" t="s">
        <v>928</v>
      </c>
      <c r="I55" s="1" t="s">
        <v>928</v>
      </c>
      <c r="J55" s="2" t="s">
        <v>883</v>
      </c>
      <c r="K55" s="1" t="s">
        <v>928</v>
      </c>
      <c r="L55" s="2" t="s">
        <v>884</v>
      </c>
      <c r="M55" s="1" t="s">
        <v>885</v>
      </c>
      <c r="N55" s="1" t="s">
        <v>886</v>
      </c>
      <c r="O55" s="1" t="s">
        <v>540</v>
      </c>
      <c r="P55" s="1" t="s">
        <v>454</v>
      </c>
    </row>
    <row r="56" spans="1:16" ht="44" thickBot="1" x14ac:dyDescent="0.4">
      <c r="A56" s="1" t="s">
        <v>887</v>
      </c>
      <c r="B56" s="1" t="s">
        <v>491</v>
      </c>
      <c r="C56" s="1" t="s">
        <v>626</v>
      </c>
      <c r="D56" s="1" t="s">
        <v>888</v>
      </c>
      <c r="E56" s="1" t="s">
        <v>104</v>
      </c>
      <c r="F56" s="1" t="s">
        <v>15</v>
      </c>
      <c r="G56" s="1" t="s">
        <v>889</v>
      </c>
      <c r="H56" s="1" t="s">
        <v>890</v>
      </c>
      <c r="I56" s="2" t="s">
        <v>891</v>
      </c>
      <c r="J56" s="2" t="s">
        <v>892</v>
      </c>
      <c r="K56" s="1" t="s">
        <v>928</v>
      </c>
      <c r="L56" s="2" t="s">
        <v>893</v>
      </c>
      <c r="M56" s="1" t="s">
        <v>894</v>
      </c>
      <c r="N56" s="1" t="s">
        <v>895</v>
      </c>
      <c r="O56" s="1" t="s">
        <v>546</v>
      </c>
      <c r="P56" s="1" t="s">
        <v>454</v>
      </c>
    </row>
    <row r="57" spans="1:16" ht="44" thickBot="1" x14ac:dyDescent="0.4">
      <c r="A57" s="1" t="s">
        <v>136</v>
      </c>
      <c r="B57" s="1" t="s">
        <v>491</v>
      </c>
      <c r="C57" s="1" t="s">
        <v>626</v>
      </c>
      <c r="D57" s="1" t="s">
        <v>896</v>
      </c>
      <c r="E57" s="1" t="s">
        <v>897</v>
      </c>
      <c r="F57" s="1" t="s">
        <v>15</v>
      </c>
      <c r="G57" s="1" t="s">
        <v>138</v>
      </c>
      <c r="H57" s="1" t="s">
        <v>898</v>
      </c>
      <c r="I57" s="1" t="s">
        <v>928</v>
      </c>
      <c r="J57" s="1" t="s">
        <v>928</v>
      </c>
      <c r="K57" s="2" t="s">
        <v>899</v>
      </c>
      <c r="L57" s="2" t="s">
        <v>900</v>
      </c>
      <c r="M57" s="1" t="s">
        <v>901</v>
      </c>
      <c r="N57" s="1" t="s">
        <v>902</v>
      </c>
      <c r="O57" s="1" t="s">
        <v>546</v>
      </c>
      <c r="P57" s="1" t="s">
        <v>454</v>
      </c>
    </row>
    <row r="58" spans="1:16" ht="44" thickBot="1" x14ac:dyDescent="0.4">
      <c r="A58" s="1" t="s">
        <v>903</v>
      </c>
      <c r="B58" s="1" t="s">
        <v>491</v>
      </c>
      <c r="C58" s="1" t="s">
        <v>297</v>
      </c>
      <c r="D58" s="1" t="s">
        <v>904</v>
      </c>
      <c r="E58" s="1" t="s">
        <v>905</v>
      </c>
      <c r="F58" s="1" t="s">
        <v>15</v>
      </c>
      <c r="G58" s="1" t="s">
        <v>906</v>
      </c>
      <c r="H58" s="1" t="s">
        <v>907</v>
      </c>
      <c r="I58" s="2" t="s">
        <v>908</v>
      </c>
      <c r="J58" s="2" t="s">
        <v>909</v>
      </c>
      <c r="K58" s="1" t="s">
        <v>928</v>
      </c>
      <c r="L58" s="2" t="s">
        <v>910</v>
      </c>
      <c r="M58" s="1" t="s">
        <v>544</v>
      </c>
      <c r="N58" s="1" t="s">
        <v>911</v>
      </c>
      <c r="O58" s="1" t="s">
        <v>532</v>
      </c>
      <c r="P58" s="1" t="s">
        <v>454</v>
      </c>
    </row>
    <row r="59" spans="1:16" ht="44" thickBot="1" x14ac:dyDescent="0.4">
      <c r="A59" s="1" t="s">
        <v>912</v>
      </c>
      <c r="B59" s="1" t="s">
        <v>491</v>
      </c>
      <c r="C59" s="1" t="s">
        <v>297</v>
      </c>
      <c r="D59" s="1" t="s">
        <v>913</v>
      </c>
      <c r="E59" s="1" t="s">
        <v>914</v>
      </c>
      <c r="F59" s="1" t="s">
        <v>15</v>
      </c>
      <c r="G59" s="1" t="s">
        <v>915</v>
      </c>
      <c r="H59" s="1" t="s">
        <v>916</v>
      </c>
      <c r="I59" s="1" t="s">
        <v>928</v>
      </c>
      <c r="J59" s="1" t="s">
        <v>928</v>
      </c>
      <c r="K59" s="2" t="s">
        <v>917</v>
      </c>
      <c r="L59" s="2" t="s">
        <v>918</v>
      </c>
      <c r="M59" s="1" t="s">
        <v>648</v>
      </c>
      <c r="N59" s="1" t="s">
        <v>919</v>
      </c>
      <c r="O59" s="1" t="s">
        <v>546</v>
      </c>
      <c r="P59" s="1" t="s">
        <v>454</v>
      </c>
    </row>
    <row r="60" spans="1:16" ht="44" thickBot="1" x14ac:dyDescent="0.4">
      <c r="A60" s="1" t="s">
        <v>920</v>
      </c>
      <c r="B60" s="1" t="s">
        <v>491</v>
      </c>
      <c r="C60" s="1" t="s">
        <v>492</v>
      </c>
      <c r="D60" s="1" t="s">
        <v>921</v>
      </c>
      <c r="E60" s="1" t="s">
        <v>51</v>
      </c>
      <c r="F60" s="1" t="s">
        <v>15</v>
      </c>
      <c r="G60" s="1" t="s">
        <v>922</v>
      </c>
      <c r="H60" s="1" t="s">
        <v>923</v>
      </c>
      <c r="I60" s="2" t="s">
        <v>924</v>
      </c>
      <c r="J60" s="1" t="s">
        <v>928</v>
      </c>
      <c r="K60" s="2" t="s">
        <v>925</v>
      </c>
      <c r="L60" s="2" t="s">
        <v>926</v>
      </c>
      <c r="M60" s="1" t="s">
        <v>552</v>
      </c>
      <c r="N60" s="1" t="s">
        <v>927</v>
      </c>
      <c r="O60" s="1" t="s">
        <v>815</v>
      </c>
      <c r="P60" s="1" t="s">
        <v>454</v>
      </c>
    </row>
    <row r="64" spans="1:16" x14ac:dyDescent="0.35">
      <c r="A64" s="23" t="s">
        <v>929</v>
      </c>
      <c r="B64" s="23">
        <f>COUNTIF(P2:P60,"Yes")</f>
        <v>53</v>
      </c>
    </row>
    <row r="65" spans="1:2" x14ac:dyDescent="0.35">
      <c r="A65" s="23" t="s">
        <v>459</v>
      </c>
      <c r="B65" s="23">
        <f>COUNTIF(G2:G60,"N/A")</f>
        <v>1</v>
      </c>
    </row>
    <row r="66" spans="1:2" x14ac:dyDescent="0.35">
      <c r="A66" s="23" t="s">
        <v>458</v>
      </c>
      <c r="B66" s="23">
        <f>COUNTIF(H2:H60,"N/A")</f>
        <v>15</v>
      </c>
    </row>
    <row r="67" spans="1:2" x14ac:dyDescent="0.35">
      <c r="A67" s="23" t="s">
        <v>457</v>
      </c>
      <c r="B67" s="23">
        <f>COUNTIF(I2:I60,"N/A")</f>
        <v>26</v>
      </c>
    </row>
  </sheetData>
  <hyperlinks>
    <hyperlink ref="J2" r:id="rId1" xr:uid="{E38EAD3E-7DA9-4DB1-9ED2-32BAA33F3198}"/>
    <hyperlink ref="L2" r:id="rId2" xr:uid="{0A4DD374-59CB-4AB7-8C23-AFB0604E4953}"/>
    <hyperlink ref="I3" r:id="rId3" xr:uid="{6580D3BB-2FFC-4021-831A-9E98F952DAD9}"/>
    <hyperlink ref="J3" r:id="rId4" xr:uid="{C26C8047-4956-44C5-8869-BF562FCC5D28}"/>
    <hyperlink ref="K3" r:id="rId5" xr:uid="{5368BEC1-FFFA-48F8-8328-189A2E49ADB2}"/>
    <hyperlink ref="L3" r:id="rId6" xr:uid="{8E0A9A92-CDC8-48C5-ADAD-80CA0AD6DDF8}"/>
    <hyperlink ref="J4" r:id="rId7" xr:uid="{C2B3B3AA-8436-43D2-9A27-9A7B90D2D9E6}"/>
    <hyperlink ref="L4" r:id="rId8" xr:uid="{AA956515-B3AB-4B93-A19F-D85EA87550C0}"/>
    <hyperlink ref="I5" r:id="rId9" xr:uid="{A13AB02C-2E98-451D-A115-2FA383401989}"/>
    <hyperlink ref="J5" r:id="rId10" xr:uid="{7084DCF1-FD58-4952-9734-F8E299F1CFD1}"/>
    <hyperlink ref="K5" r:id="rId11" xr:uid="{0485E5B2-87AA-43BD-B9C8-44059D4EF802}"/>
    <hyperlink ref="L5" r:id="rId12" xr:uid="{CA31DFB3-C966-47BF-8DC0-2D703E921DAA}"/>
    <hyperlink ref="I6" r:id="rId13" xr:uid="{95E69540-2403-41CC-BD39-4EBBB04A19B7}"/>
    <hyperlink ref="J6" r:id="rId14" xr:uid="{FBDF1C47-7008-42F5-B08B-ABF317584779}"/>
    <hyperlink ref="K6" r:id="rId15" xr:uid="{1CB4A756-4181-4E75-9525-17BC99595326}"/>
    <hyperlink ref="L6" r:id="rId16" xr:uid="{54E9C44A-FB58-4E37-85F5-9068309154E7}"/>
    <hyperlink ref="I7" r:id="rId17" xr:uid="{A0753E55-2BCA-433E-8289-3720C7BA6699}"/>
    <hyperlink ref="J7" r:id="rId18" xr:uid="{2C439B11-15A6-4F73-9D20-03CDCE3C9F75}"/>
    <hyperlink ref="K7" r:id="rId19" xr:uid="{0073B220-D88C-4EAC-A98B-F4AB5D8F8023}"/>
    <hyperlink ref="L7" r:id="rId20" xr:uid="{95D2CB4B-6070-4C8D-9E38-989349E32E79}"/>
    <hyperlink ref="I8" r:id="rId21" xr:uid="{CBEEFF5A-C6E5-4408-88B1-E28A1BD24F31}"/>
    <hyperlink ref="J8" r:id="rId22" xr:uid="{EB73B571-76AC-41A2-AAC1-5BF6BDB0AA43}"/>
    <hyperlink ref="L8" r:id="rId23" xr:uid="{C7BDF8F3-017D-4AE4-B5BB-344240F0A406}"/>
    <hyperlink ref="I9" r:id="rId24" xr:uid="{A744B942-D9F9-4DFD-A4B3-56CF37796507}"/>
    <hyperlink ref="K9" r:id="rId25" xr:uid="{F86EC21B-FB57-4970-874B-9EB53435D88C}"/>
    <hyperlink ref="L9" r:id="rId26" xr:uid="{690F6834-B121-4448-9FE9-7C422659EB06}"/>
    <hyperlink ref="I10" r:id="rId27" xr:uid="{3F9ABE66-C474-47E4-B318-26169B8C4DDD}"/>
    <hyperlink ref="K10" r:id="rId28" xr:uid="{95F72AA1-6C1F-41E7-A882-66D50DD1B27F}"/>
    <hyperlink ref="L10" r:id="rId29" xr:uid="{E4662B06-44D5-4FFC-8FC5-1FB0B61E4924}"/>
    <hyperlink ref="J11" r:id="rId30" xr:uid="{FD9C727D-52D7-4E1F-B6A3-EA38B66CA7ED}"/>
    <hyperlink ref="K11" r:id="rId31" xr:uid="{E17BAA4C-889D-4CD9-A045-6A2E9AE428A4}"/>
    <hyperlink ref="L11" r:id="rId32" xr:uid="{4D481ED9-1C5F-4AFA-BB8C-8164F84D4C54}"/>
    <hyperlink ref="I12" r:id="rId33" xr:uid="{2AF1282A-436E-43B6-B634-65E45BD13D52}"/>
    <hyperlink ref="K12" r:id="rId34" xr:uid="{8933F316-1EF4-4E3A-888F-F215C4FE9AC8}"/>
    <hyperlink ref="L12" r:id="rId35" xr:uid="{8966A3B5-EA2A-4473-B6DC-9654D04D6319}"/>
    <hyperlink ref="I13" r:id="rId36" xr:uid="{1E0C4BD1-AC81-4BF1-8D24-46E097EA5183}"/>
    <hyperlink ref="L13" r:id="rId37" xr:uid="{D0D2C472-86C6-4F16-907D-51CA35A071C0}"/>
    <hyperlink ref="L14" r:id="rId38" xr:uid="{E5B3F122-D7B6-4B59-9F56-C9B401E643C0}"/>
    <hyperlink ref="L15" r:id="rId39" xr:uid="{2F210EB0-E394-4841-BB0B-991ACDAAEF0E}"/>
    <hyperlink ref="I16" r:id="rId40" xr:uid="{86B84CB4-3816-4105-92D3-9771A7584E77}"/>
    <hyperlink ref="K16" r:id="rId41" xr:uid="{04CAF5C9-6A5F-4CA6-BEAD-8156106A30CE}"/>
    <hyperlink ref="L16" r:id="rId42" xr:uid="{52DD3128-0780-4C20-8F8C-A0D2FA614E9D}"/>
    <hyperlink ref="I17" r:id="rId43" xr:uid="{8234DDF2-39A6-41AC-89F5-097A27F185E9}"/>
    <hyperlink ref="K17" r:id="rId44" xr:uid="{F83DD67A-B7FE-42BF-A159-B0D219E673B0}"/>
    <hyperlink ref="L17" r:id="rId45" xr:uid="{19BE2DAE-C9BE-44AC-9B1E-D09D0D16E8D2}"/>
    <hyperlink ref="I18" r:id="rId46" xr:uid="{51FC25C9-ED1B-4AE5-B648-D66250BE247D}"/>
    <hyperlink ref="K18" r:id="rId47" xr:uid="{CAF6554A-15F5-404C-BCE3-27EB376FE0AE}"/>
    <hyperlink ref="L18" r:id="rId48" xr:uid="{7C6DC62D-0D48-479F-9587-26E51AF0A9C8}"/>
    <hyperlink ref="I19" r:id="rId49" xr:uid="{8E219D63-4CA6-4FE5-AF2C-E975882C2F76}"/>
    <hyperlink ref="K19" r:id="rId50" xr:uid="{BC1B7D9A-7059-453D-AB65-1406547028E8}"/>
    <hyperlink ref="L19" r:id="rId51" xr:uid="{FB30E0FB-C2AA-4A51-864B-1E87A95BBC7F}"/>
    <hyperlink ref="I20" r:id="rId52" xr:uid="{D715ECE2-7819-4436-87A0-28351BF5F4AE}"/>
    <hyperlink ref="J20" r:id="rId53" xr:uid="{16C7851B-7720-47B9-97ED-7E0A28CEDA69}"/>
    <hyperlink ref="K20" r:id="rId54" xr:uid="{5296EB30-4F52-49B9-BED0-B82AE2C797CA}"/>
    <hyperlink ref="L20" r:id="rId55" xr:uid="{76127F06-4E9E-4053-8EE4-2E649ABF9EFA}"/>
    <hyperlink ref="I21" r:id="rId56" xr:uid="{66F1582C-827D-4552-A2D2-959ED4479581}"/>
    <hyperlink ref="J21" r:id="rId57" xr:uid="{8EEFE4CD-036A-4984-B875-A32613F03636}"/>
    <hyperlink ref="K21" r:id="rId58" xr:uid="{8CECCA61-38DF-435E-9923-888CFE381AF7}"/>
    <hyperlink ref="L21" r:id="rId59" xr:uid="{DE800AB2-AA14-4DDD-92B8-5CE78F22D06C}"/>
    <hyperlink ref="I22" r:id="rId60" xr:uid="{BBD8886D-FE13-4721-ABF7-CD403FFB1980}"/>
    <hyperlink ref="L22" r:id="rId61" xr:uid="{11BF4A64-0AB3-4336-A662-BC1E686BBB23}"/>
    <hyperlink ref="I23" r:id="rId62" xr:uid="{84385E06-9C9E-4846-BBE3-72F47A7CABF9}"/>
    <hyperlink ref="J23" r:id="rId63" xr:uid="{4CAA7A36-2753-4BFF-8519-D22B7F839707}"/>
    <hyperlink ref="K23" r:id="rId64" xr:uid="{2F424069-0D8A-4F1C-B6C9-20732F028986}"/>
    <hyperlink ref="L23" r:id="rId65" xr:uid="{73D2B6B6-6CCB-4559-AD9F-123F1E01DC69}"/>
    <hyperlink ref="L24" r:id="rId66" xr:uid="{942BBC69-FCE4-4CA5-9625-31A89F791B6A}"/>
    <hyperlink ref="J25" r:id="rId67" xr:uid="{280292A2-A699-4E65-8991-89BBD482548D}"/>
    <hyperlink ref="L25" r:id="rId68" xr:uid="{26E6CC15-41D2-4364-B6BB-2B7BAE5ED01C}"/>
    <hyperlink ref="I26" r:id="rId69" xr:uid="{74F8863C-D860-40F0-91E2-7DFBDAB5EF5B}"/>
    <hyperlink ref="J26" r:id="rId70" xr:uid="{5BAE1C83-246F-4359-AE97-0425163507B3}"/>
    <hyperlink ref="L26" r:id="rId71" xr:uid="{B696814E-DA25-4C3D-83AB-ABCA95AF7538}"/>
    <hyperlink ref="J27" r:id="rId72" xr:uid="{52CF554E-94E9-4CB5-9FF5-9BA65DB8FC55}"/>
    <hyperlink ref="L27" r:id="rId73" xr:uid="{D800A6D7-5460-4BB1-AA18-8E121C4193E1}"/>
    <hyperlink ref="L28" r:id="rId74" xr:uid="{54398384-DD82-4749-A57A-44FF6C1BB5F8}"/>
    <hyperlink ref="K29" r:id="rId75" xr:uid="{33F9F918-5CBB-464F-999B-192F645CA402}"/>
    <hyperlink ref="L29" r:id="rId76" xr:uid="{6FBFF044-E914-4306-9E23-AB500C1124AD}"/>
    <hyperlink ref="I30" r:id="rId77" xr:uid="{BAD33D76-9BF5-4313-A312-F003DB52C949}"/>
    <hyperlink ref="K30" r:id="rId78" xr:uid="{605F6766-D0E9-479F-B338-202048A5447D}"/>
    <hyperlink ref="L30" r:id="rId79" xr:uid="{595C6619-6883-44D5-9813-AD80A748C255}"/>
    <hyperlink ref="J31" r:id="rId80" xr:uid="{0261EC9E-8B19-4DDF-A549-3FC7B91C54E9}"/>
    <hyperlink ref="L31" r:id="rId81" xr:uid="{C5A34FDC-6307-4943-9D62-5D662BCB5C43}"/>
    <hyperlink ref="L32" r:id="rId82" xr:uid="{E95E25D8-FA4F-463F-8612-29057AD8550A}"/>
    <hyperlink ref="I33" r:id="rId83" xr:uid="{E148FCFF-0DA0-47F8-99D6-BD3AFB868C3F}"/>
    <hyperlink ref="K33" r:id="rId84" xr:uid="{B47DFB8E-BAA2-4282-91C7-CA5272FACD4D}"/>
    <hyperlink ref="L33" r:id="rId85" xr:uid="{3EC63DF7-C1BF-4052-AB20-F342397DB8CB}"/>
    <hyperlink ref="J34" r:id="rId86" xr:uid="{4C2A2696-A4CB-4C02-BCBC-62AE401A34B0}"/>
    <hyperlink ref="L34" r:id="rId87" xr:uid="{89026F13-085A-43B8-BD44-558B2733CBE9}"/>
    <hyperlink ref="L35" r:id="rId88" xr:uid="{35D6E72B-604C-41C4-A51B-46F5DB7CF1F9}"/>
    <hyperlink ref="J36" r:id="rId89" xr:uid="{86777E24-424B-43B7-99C0-8F84E1BD30C2}"/>
    <hyperlink ref="L36" r:id="rId90" xr:uid="{F96DB336-9348-49E2-864D-EA52F140CA38}"/>
    <hyperlink ref="J37" r:id="rId91" xr:uid="{4A1D8615-6025-4A34-8DA4-5FDA836754FF}"/>
    <hyperlink ref="L37" r:id="rId92" xr:uid="{B420BEDF-4697-40FE-B412-28A4C1B796ED}"/>
    <hyperlink ref="I38" r:id="rId93" display="https://adfa.in/" xr:uid="{7C63A6FA-6407-48F6-9C37-15DD94739C37}"/>
    <hyperlink ref="L38" r:id="rId94" xr:uid="{C6663BF8-2D10-4A9B-B339-97B9F3EAC9D7}"/>
    <hyperlink ref="J39" r:id="rId95" xr:uid="{945EEA40-D36E-4044-B97D-AB04720735E1}"/>
    <hyperlink ref="L39" r:id="rId96" xr:uid="{7D9849A2-2E71-4944-A9AB-E137AB600814}"/>
    <hyperlink ref="J40" r:id="rId97" xr:uid="{75572464-0968-4362-9630-DEF0650DF0DE}"/>
    <hyperlink ref="L40" r:id="rId98" xr:uid="{437D4C6D-4690-4A1D-9D3B-4FD5957024DB}"/>
    <hyperlink ref="I41" r:id="rId99" xr:uid="{A8B151EA-8E0A-4955-92F8-8F8886052DDF}"/>
    <hyperlink ref="J41" r:id="rId100" xr:uid="{71A17AF7-D909-4704-A117-0F5576B64E49}"/>
    <hyperlink ref="K41" r:id="rId101" xr:uid="{DEC40357-2A17-425B-B52F-F5F60FA9F7B3}"/>
    <hyperlink ref="L41" r:id="rId102" xr:uid="{F7A4E71F-A9B8-428D-9C14-857493F75853}"/>
    <hyperlink ref="L42" r:id="rId103" xr:uid="{2BEBEAC2-1781-45AA-A30B-FEDF550153C1}"/>
    <hyperlink ref="I43" r:id="rId104" xr:uid="{628C8C76-6232-438C-9B8D-F3A7D5157DCC}"/>
    <hyperlink ref="K43" r:id="rId105" xr:uid="{A1941ADD-10C9-4BFB-8736-0C56579758FD}"/>
    <hyperlink ref="L43" r:id="rId106" xr:uid="{C88DC0FC-297F-4879-92E9-2F86DB689A6C}"/>
    <hyperlink ref="I44" r:id="rId107" xr:uid="{7D7655E9-057A-489B-BD3D-483EC40D43D0}"/>
    <hyperlink ref="K44" r:id="rId108" xr:uid="{340E7FD0-92FC-4032-B06A-D40162DCBE7A}"/>
    <hyperlink ref="L44" r:id="rId109" xr:uid="{6D6169F3-9190-4A6E-891B-8F1C32301E7D}"/>
    <hyperlink ref="I45" r:id="rId110" xr:uid="{B0F8B6E8-E593-4550-B572-AE77F7F7749E}"/>
    <hyperlink ref="K45" r:id="rId111" xr:uid="{9F4FE01E-D187-4090-AD29-0B0283E546E6}"/>
    <hyperlink ref="L45" r:id="rId112" xr:uid="{FFF0BEFF-C99A-486A-9E35-39770B6517C9}"/>
    <hyperlink ref="L46" r:id="rId113" xr:uid="{35ECCE8E-2240-4C51-BE9D-209B9ED6131A}"/>
    <hyperlink ref="I47" r:id="rId114" xr:uid="{383AB957-B2DD-4ADA-BD47-FB99B757B0DD}"/>
    <hyperlink ref="J47" r:id="rId115" xr:uid="{2FC929E4-4CF1-4F8D-83A4-E18A9546C154}"/>
    <hyperlink ref="K47" r:id="rId116" xr:uid="{E3E0DF35-A5D8-4D1A-9901-A89202A5F8A1}"/>
    <hyperlink ref="L47" r:id="rId117" xr:uid="{B59B7C10-8A2D-4644-88D8-183A4D1BAB4A}"/>
    <hyperlink ref="I48" r:id="rId118" xr:uid="{DFC83597-57BF-4248-9704-4960AB446D8E}"/>
    <hyperlink ref="L48" r:id="rId119" xr:uid="{76B017C8-5314-4C98-B29B-28731593B5DD}"/>
    <hyperlink ref="L49" r:id="rId120" xr:uid="{3DBE08F4-553E-49EA-9A21-E1B56D685330}"/>
    <hyperlink ref="I50" r:id="rId121" xr:uid="{16F4A569-00BE-4416-9A6B-C56320156228}"/>
    <hyperlink ref="L50" r:id="rId122" xr:uid="{F47F4B55-4886-4FB8-8F6E-9DC1FA2AE389}"/>
    <hyperlink ref="I51" r:id="rId123" xr:uid="{82E93A13-C219-404E-8262-F2097DAC0F12}"/>
    <hyperlink ref="J51" r:id="rId124" xr:uid="{21B9C66F-A503-4C10-A931-01384C11E8F5}"/>
    <hyperlink ref="L51" r:id="rId125" xr:uid="{7E89ABA7-AE23-4CEE-9F74-9DDF8B8A7F30}"/>
    <hyperlink ref="J52" r:id="rId126" xr:uid="{2DCC16ED-0C5B-4E98-AD03-574969929200}"/>
    <hyperlink ref="L52" r:id="rId127" xr:uid="{74D5E950-F9B5-418F-A5E9-1EBC03B237F3}"/>
    <hyperlink ref="I53" r:id="rId128" xr:uid="{26E7A47F-4B81-4399-9844-2F4A82E24EBE}"/>
    <hyperlink ref="L53" r:id="rId129" xr:uid="{2593DD6F-63F2-4DDD-A3CC-64E99B7718C4}"/>
    <hyperlink ref="J54" r:id="rId130" xr:uid="{AA4305A5-A0C4-477F-B501-FF5AD237D82F}"/>
    <hyperlink ref="L54" r:id="rId131" xr:uid="{B48972E3-33FA-4C9B-ACCC-4B40DB0DA530}"/>
    <hyperlink ref="J55" r:id="rId132" xr:uid="{2226656A-EA66-483F-B202-97B65F69666F}"/>
    <hyperlink ref="L55" r:id="rId133" xr:uid="{AA1CB937-09CC-49F1-BC90-FDED170E5582}"/>
    <hyperlink ref="I56" r:id="rId134" xr:uid="{D3C466E5-1D66-4B01-AB1E-B63A684B6F12}"/>
    <hyperlink ref="J56" r:id="rId135" xr:uid="{D42A457B-8E48-4E1B-9B0D-71D29D406207}"/>
    <hyperlink ref="L56" r:id="rId136" xr:uid="{6D97AD35-0EF2-4BD1-BC4F-E3B1C4B82532}"/>
    <hyperlink ref="K57" r:id="rId137" xr:uid="{0E62E402-B4AE-4061-BE86-10B442A353E6}"/>
    <hyperlink ref="L57" r:id="rId138" xr:uid="{C112C31D-9BD7-48A3-9F10-E9C63FAB8065}"/>
    <hyperlink ref="I58" r:id="rId139" xr:uid="{B9344883-B3B0-4CCF-B01B-BAA42C96AD3F}"/>
    <hyperlink ref="J58" r:id="rId140" xr:uid="{7588AA68-7BD9-42F8-B138-2506209D2DE2}"/>
    <hyperlink ref="L58" r:id="rId141" xr:uid="{A12F03A5-C473-43E2-8EC0-FFAEC0CC0C0C}"/>
    <hyperlink ref="K59" r:id="rId142" xr:uid="{53A6855B-4204-44B8-8C38-B9B02BDA1AB4}"/>
    <hyperlink ref="L59" r:id="rId143" xr:uid="{4CCC0A55-5647-4F0D-A10F-096D065F6B61}"/>
    <hyperlink ref="I60" r:id="rId144" xr:uid="{7178FCB9-CF5F-4E3F-94C9-BFB996CFC1E8}"/>
    <hyperlink ref="K60" r:id="rId145" xr:uid="{3EBC17EE-A8BC-4940-A3F9-24EA82D1E9EF}"/>
    <hyperlink ref="L60" r:id="rId146" xr:uid="{F88D511C-42E1-47DA-BF84-6D91128A3153}"/>
  </hyperlinks>
  <pageMargins left="0.7" right="0.7" top="0.75" bottom="0.75" header="0.3" footer="0.3"/>
  <tableParts count="1">
    <tablePart r:id="rId1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CC24-BBCC-4086-AE63-A6395595ED57}">
  <dimension ref="A1:L48"/>
  <sheetViews>
    <sheetView topLeftCell="A36" workbookViewId="0">
      <selection activeCell="H5" sqref="H5"/>
    </sheetView>
  </sheetViews>
  <sheetFormatPr defaultRowHeight="14.5" x14ac:dyDescent="0.35"/>
  <cols>
    <col min="1" max="1" width="26.08984375" style="23" customWidth="1"/>
    <col min="2" max="2" width="11.1796875" style="23" customWidth="1"/>
    <col min="3" max="3" width="16.08984375" style="23" customWidth="1"/>
    <col min="4" max="4" width="35.08984375" style="23" customWidth="1"/>
    <col min="5" max="5" width="19.08984375" style="23" customWidth="1"/>
    <col min="6" max="6" width="12.6328125" style="23" customWidth="1"/>
    <col min="7" max="7" width="18" style="23" customWidth="1"/>
    <col min="8" max="8" width="26.36328125" style="23" customWidth="1"/>
    <col min="9" max="9" width="25.90625" style="23" customWidth="1"/>
    <col min="10" max="10" width="26.1796875" style="23" customWidth="1"/>
    <col min="11" max="11" width="17.453125" style="23" customWidth="1"/>
    <col min="12" max="12" width="35.08984375" style="23" customWidth="1"/>
    <col min="13" max="16384" width="8.7265625" style="23"/>
  </cols>
  <sheetData>
    <row r="1" spans="1:12" ht="1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1" t="s">
        <v>7</v>
      </c>
      <c r="I1" s="5" t="s">
        <v>282</v>
      </c>
      <c r="J1" s="5" t="s">
        <v>283</v>
      </c>
      <c r="K1" s="5" t="s">
        <v>8</v>
      </c>
      <c r="L1" s="6" t="s">
        <v>9</v>
      </c>
    </row>
    <row r="2" spans="1:12" ht="39" thickBot="1" x14ac:dyDescent="0.4">
      <c r="A2" s="3" t="s">
        <v>284</v>
      </c>
      <c r="B2" s="1" t="s">
        <v>285</v>
      </c>
      <c r="C2" s="1" t="s">
        <v>12</v>
      </c>
      <c r="D2" s="1" t="s">
        <v>286</v>
      </c>
      <c r="E2" s="1" t="s">
        <v>287</v>
      </c>
      <c r="F2" s="1" t="s">
        <v>15</v>
      </c>
      <c r="G2" s="1" t="s">
        <v>288</v>
      </c>
      <c r="H2" s="30" t="s">
        <v>1521</v>
      </c>
      <c r="I2" s="1" t="s">
        <v>295</v>
      </c>
      <c r="J2" s="1" t="s">
        <v>290</v>
      </c>
      <c r="K2" s="1" t="s">
        <v>454</v>
      </c>
      <c r="L2" s="24" t="s">
        <v>289</v>
      </c>
    </row>
    <row r="3" spans="1:12" ht="39" thickBot="1" x14ac:dyDescent="0.4">
      <c r="A3" s="3" t="s">
        <v>291</v>
      </c>
      <c r="B3" s="1" t="s">
        <v>285</v>
      </c>
      <c r="C3" s="1" t="s">
        <v>292</v>
      </c>
      <c r="D3" s="1" t="s">
        <v>83</v>
      </c>
      <c r="E3" s="1" t="s">
        <v>78</v>
      </c>
      <c r="F3" s="1" t="s">
        <v>15</v>
      </c>
      <c r="G3" s="1" t="s">
        <v>293</v>
      </c>
      <c r="H3" s="30" t="s">
        <v>1522</v>
      </c>
      <c r="I3" s="2" t="s">
        <v>294</v>
      </c>
      <c r="J3" s="1" t="s">
        <v>295</v>
      </c>
      <c r="K3" s="1" t="s">
        <v>454</v>
      </c>
      <c r="L3" s="24" t="s">
        <v>294</v>
      </c>
    </row>
    <row r="4" spans="1:12" ht="39" thickBot="1" x14ac:dyDescent="0.4">
      <c r="A4" s="3" t="s">
        <v>296</v>
      </c>
      <c r="B4" s="1" t="s">
        <v>285</v>
      </c>
      <c r="C4" s="1" t="s">
        <v>297</v>
      </c>
      <c r="D4" s="1" t="s">
        <v>50</v>
      </c>
      <c r="E4" s="1" t="s">
        <v>298</v>
      </c>
      <c r="F4" s="1" t="s">
        <v>15</v>
      </c>
      <c r="G4" s="1" t="s">
        <v>42</v>
      </c>
      <c r="H4" s="30" t="s">
        <v>1523</v>
      </c>
      <c r="I4" s="2" t="s">
        <v>299</v>
      </c>
      <c r="J4" s="1" t="s">
        <v>295</v>
      </c>
      <c r="K4" s="1" t="s">
        <v>454</v>
      </c>
      <c r="L4" s="24" t="s">
        <v>43</v>
      </c>
    </row>
    <row r="5" spans="1:12" ht="39" thickBot="1" x14ac:dyDescent="0.4">
      <c r="A5" s="3" t="s">
        <v>300</v>
      </c>
      <c r="B5" s="1" t="s">
        <v>285</v>
      </c>
      <c r="C5" s="1" t="s">
        <v>297</v>
      </c>
      <c r="D5" s="1" t="s">
        <v>301</v>
      </c>
      <c r="E5" s="1" t="s">
        <v>302</v>
      </c>
      <c r="F5" s="1" t="s">
        <v>15</v>
      </c>
      <c r="G5" s="1" t="s">
        <v>303</v>
      </c>
      <c r="H5" s="30" t="s">
        <v>1524</v>
      </c>
      <c r="I5" s="1" t="s">
        <v>295</v>
      </c>
      <c r="J5" s="1" t="s">
        <v>295</v>
      </c>
      <c r="K5" s="1" t="s">
        <v>454</v>
      </c>
      <c r="L5" s="24" t="s">
        <v>304</v>
      </c>
    </row>
    <row r="6" spans="1:12" ht="39" thickBot="1" x14ac:dyDescent="0.4">
      <c r="A6" s="3" t="s">
        <v>305</v>
      </c>
      <c r="B6" s="1" t="s">
        <v>285</v>
      </c>
      <c r="C6" s="1" t="s">
        <v>297</v>
      </c>
      <c r="D6" s="1" t="s">
        <v>306</v>
      </c>
      <c r="E6" s="1" t="s">
        <v>307</v>
      </c>
      <c r="F6" s="1" t="s">
        <v>15</v>
      </c>
      <c r="G6" s="1" t="s">
        <v>303</v>
      </c>
      <c r="H6" s="30" t="s">
        <v>1525</v>
      </c>
      <c r="I6" s="1" t="s">
        <v>295</v>
      </c>
      <c r="J6" s="1" t="s">
        <v>295</v>
      </c>
      <c r="K6" s="1" t="s">
        <v>454</v>
      </c>
      <c r="L6" s="24" t="s">
        <v>308</v>
      </c>
    </row>
    <row r="7" spans="1:12" ht="39" thickBot="1" x14ac:dyDescent="0.4">
      <c r="A7" s="3" t="s">
        <v>309</v>
      </c>
      <c r="B7" s="1" t="s">
        <v>285</v>
      </c>
      <c r="C7" s="1" t="s">
        <v>297</v>
      </c>
      <c r="D7" s="1" t="s">
        <v>310</v>
      </c>
      <c r="E7" s="1" t="s">
        <v>311</v>
      </c>
      <c r="F7" s="1" t="s">
        <v>15</v>
      </c>
      <c r="G7" s="1" t="s">
        <v>312</v>
      </c>
      <c r="H7" s="30" t="s">
        <v>1526</v>
      </c>
      <c r="I7" s="1" t="s">
        <v>295</v>
      </c>
      <c r="J7" s="1" t="s">
        <v>295</v>
      </c>
      <c r="K7" s="1" t="s">
        <v>454</v>
      </c>
      <c r="L7" s="24" t="s">
        <v>313</v>
      </c>
    </row>
    <row r="8" spans="1:12" ht="44" thickBot="1" x14ac:dyDescent="0.4">
      <c r="A8" s="3" t="s">
        <v>314</v>
      </c>
      <c r="B8" s="1" t="s">
        <v>285</v>
      </c>
      <c r="C8" s="1" t="s">
        <v>297</v>
      </c>
      <c r="D8" s="1" t="s">
        <v>315</v>
      </c>
      <c r="E8" s="1" t="s">
        <v>316</v>
      </c>
      <c r="F8" s="1" t="s">
        <v>15</v>
      </c>
      <c r="G8" s="1" t="s">
        <v>38</v>
      </c>
      <c r="H8" s="30" t="s">
        <v>1443</v>
      </c>
      <c r="I8" s="2" t="s">
        <v>39</v>
      </c>
      <c r="J8" s="1" t="s">
        <v>317</v>
      </c>
      <c r="K8" s="1" t="s">
        <v>454</v>
      </c>
      <c r="L8" s="24" t="s">
        <v>39</v>
      </c>
    </row>
    <row r="9" spans="1:12" ht="39" thickBot="1" x14ac:dyDescent="0.4">
      <c r="A9" s="3" t="s">
        <v>318</v>
      </c>
      <c r="B9" s="1" t="s">
        <v>285</v>
      </c>
      <c r="C9" s="1" t="s">
        <v>292</v>
      </c>
      <c r="D9" s="1" t="s">
        <v>319</v>
      </c>
      <c r="E9" s="1" t="s">
        <v>320</v>
      </c>
      <c r="F9" s="1" t="s">
        <v>15</v>
      </c>
      <c r="G9" s="1" t="s">
        <v>321</v>
      </c>
      <c r="H9" s="30" t="s">
        <v>1436</v>
      </c>
      <c r="I9" s="2" t="s">
        <v>322</v>
      </c>
      <c r="J9" s="1" t="s">
        <v>295</v>
      </c>
      <c r="K9" s="1" t="s">
        <v>454</v>
      </c>
      <c r="L9" s="24" t="s">
        <v>323</v>
      </c>
    </row>
    <row r="10" spans="1:12" ht="51.5" thickBot="1" x14ac:dyDescent="0.4">
      <c r="A10" s="3" t="s">
        <v>324</v>
      </c>
      <c r="B10" s="1" t="s">
        <v>285</v>
      </c>
      <c r="C10" s="1" t="s">
        <v>292</v>
      </c>
      <c r="D10" s="1" t="s">
        <v>325</v>
      </c>
      <c r="E10" s="1" t="s">
        <v>326</v>
      </c>
      <c r="F10" s="1" t="s">
        <v>15</v>
      </c>
      <c r="G10" s="1" t="s">
        <v>147</v>
      </c>
      <c r="H10" s="30" t="s">
        <v>1441</v>
      </c>
      <c r="I10" s="2" t="s">
        <v>327</v>
      </c>
      <c r="J10" s="1" t="s">
        <v>295</v>
      </c>
      <c r="K10" s="1" t="s">
        <v>454</v>
      </c>
      <c r="L10" s="24" t="s">
        <v>148</v>
      </c>
    </row>
    <row r="11" spans="1:12" ht="39" thickBot="1" x14ac:dyDescent="0.4">
      <c r="A11" s="3" t="s">
        <v>140</v>
      </c>
      <c r="B11" s="1" t="s">
        <v>285</v>
      </c>
      <c r="C11" s="1" t="s">
        <v>292</v>
      </c>
      <c r="D11" s="1" t="s">
        <v>328</v>
      </c>
      <c r="E11" s="1" t="s">
        <v>326</v>
      </c>
      <c r="F11" s="1" t="s">
        <v>15</v>
      </c>
      <c r="G11" s="1" t="s">
        <v>143</v>
      </c>
      <c r="H11" s="30" t="s">
        <v>1459</v>
      </c>
      <c r="I11" s="1" t="s">
        <v>295</v>
      </c>
      <c r="J11" s="1" t="s">
        <v>295</v>
      </c>
      <c r="K11" s="1" t="s">
        <v>454</v>
      </c>
      <c r="L11" s="24" t="s">
        <v>329</v>
      </c>
    </row>
    <row r="12" spans="1:12" ht="39" thickBot="1" x14ac:dyDescent="0.4">
      <c r="A12" s="3" t="s">
        <v>330</v>
      </c>
      <c r="B12" s="1" t="s">
        <v>285</v>
      </c>
      <c r="C12" s="1" t="s">
        <v>297</v>
      </c>
      <c r="D12" s="1" t="s">
        <v>331</v>
      </c>
      <c r="E12" s="1" t="s">
        <v>332</v>
      </c>
      <c r="F12" s="1" t="s">
        <v>15</v>
      </c>
      <c r="G12" s="1" t="s">
        <v>333</v>
      </c>
      <c r="H12" s="30" t="s">
        <v>1527</v>
      </c>
      <c r="I12" s="1" t="s">
        <v>295</v>
      </c>
      <c r="J12" s="1" t="s">
        <v>295</v>
      </c>
      <c r="K12" s="1" t="s">
        <v>454</v>
      </c>
      <c r="L12" s="24" t="s">
        <v>334</v>
      </c>
    </row>
    <row r="13" spans="1:12" ht="39" thickBot="1" x14ac:dyDescent="0.4">
      <c r="A13" s="3" t="s">
        <v>335</v>
      </c>
      <c r="B13" s="1" t="s">
        <v>285</v>
      </c>
      <c r="C13" s="1" t="s">
        <v>297</v>
      </c>
      <c r="D13" s="1" t="s">
        <v>336</v>
      </c>
      <c r="E13" s="1" t="s">
        <v>337</v>
      </c>
      <c r="F13" s="1" t="s">
        <v>15</v>
      </c>
      <c r="G13" s="1" t="s">
        <v>338</v>
      </c>
      <c r="H13" s="30" t="s">
        <v>1528</v>
      </c>
      <c r="I13" s="1" t="s">
        <v>295</v>
      </c>
      <c r="J13" s="1" t="s">
        <v>295</v>
      </c>
      <c r="K13" s="1" t="s">
        <v>454</v>
      </c>
      <c r="L13" s="24" t="s">
        <v>339</v>
      </c>
    </row>
    <row r="14" spans="1:12" ht="29.5" thickBot="1" x14ac:dyDescent="0.4">
      <c r="A14" s="3" t="s">
        <v>158</v>
      </c>
      <c r="B14" s="1" t="s">
        <v>285</v>
      </c>
      <c r="C14" s="1" t="s">
        <v>340</v>
      </c>
      <c r="D14" s="1" t="s">
        <v>159</v>
      </c>
      <c r="E14" s="1" t="s">
        <v>151</v>
      </c>
      <c r="F14" s="1" t="s">
        <v>15</v>
      </c>
      <c r="G14" s="1" t="s">
        <v>160</v>
      </c>
      <c r="H14" s="30" t="s">
        <v>1461</v>
      </c>
      <c r="I14" s="2" t="s">
        <v>341</v>
      </c>
      <c r="J14" s="1" t="s">
        <v>295</v>
      </c>
      <c r="K14" s="1" t="s">
        <v>454</v>
      </c>
      <c r="L14" s="24" t="s">
        <v>161</v>
      </c>
    </row>
    <row r="15" spans="1:12" ht="39" thickBot="1" x14ac:dyDescent="0.4">
      <c r="A15" s="3" t="s">
        <v>342</v>
      </c>
      <c r="B15" s="1" t="s">
        <v>285</v>
      </c>
      <c r="C15" s="1" t="s">
        <v>292</v>
      </c>
      <c r="D15" s="1" t="s">
        <v>343</v>
      </c>
      <c r="E15" s="1" t="s">
        <v>344</v>
      </c>
      <c r="F15" s="1" t="s">
        <v>15</v>
      </c>
      <c r="G15" s="1" t="s">
        <v>345</v>
      </c>
      <c r="H15" s="30" t="s">
        <v>1529</v>
      </c>
      <c r="I15" s="2" t="s">
        <v>346</v>
      </c>
      <c r="J15" s="1" t="s">
        <v>295</v>
      </c>
      <c r="K15" s="1" t="s">
        <v>454</v>
      </c>
      <c r="L15" s="24" t="s">
        <v>346</v>
      </c>
    </row>
    <row r="16" spans="1:12" ht="26.5" thickBot="1" x14ac:dyDescent="0.4">
      <c r="A16" s="3" t="s">
        <v>347</v>
      </c>
      <c r="B16" s="1" t="s">
        <v>285</v>
      </c>
      <c r="C16" s="1" t="s">
        <v>292</v>
      </c>
      <c r="D16" s="1" t="s">
        <v>348</v>
      </c>
      <c r="E16" s="1" t="s">
        <v>332</v>
      </c>
      <c r="F16" s="1" t="s">
        <v>15</v>
      </c>
      <c r="G16" s="1" t="s">
        <v>349</v>
      </c>
      <c r="H16" s="30" t="s">
        <v>1530</v>
      </c>
      <c r="I16" s="2" t="s">
        <v>350</v>
      </c>
      <c r="J16" s="1" t="s">
        <v>351</v>
      </c>
      <c r="K16" s="1" t="s">
        <v>454</v>
      </c>
      <c r="L16" s="24" t="s">
        <v>352</v>
      </c>
    </row>
    <row r="17" spans="1:12" ht="39" thickBot="1" x14ac:dyDescent="0.4">
      <c r="A17" s="3" t="s">
        <v>370</v>
      </c>
      <c r="B17" s="1" t="s">
        <v>285</v>
      </c>
      <c r="C17" s="1" t="s">
        <v>297</v>
      </c>
      <c r="D17" s="1" t="s">
        <v>371</v>
      </c>
      <c r="E17" s="1" t="s">
        <v>372</v>
      </c>
      <c r="F17" s="1" t="s">
        <v>15</v>
      </c>
      <c r="G17" s="1" t="s">
        <v>373</v>
      </c>
      <c r="H17" s="30" t="s">
        <v>1531</v>
      </c>
      <c r="I17" s="1" t="s">
        <v>295</v>
      </c>
      <c r="J17" s="1" t="s">
        <v>295</v>
      </c>
      <c r="K17" s="1" t="s">
        <v>454</v>
      </c>
      <c r="L17" s="24" t="s">
        <v>374</v>
      </c>
    </row>
    <row r="18" spans="1:12" ht="29.5" thickBot="1" x14ac:dyDescent="0.4">
      <c r="A18" s="3" t="s">
        <v>375</v>
      </c>
      <c r="B18" s="1" t="s">
        <v>285</v>
      </c>
      <c r="C18" s="1" t="s">
        <v>376</v>
      </c>
      <c r="D18" s="1" t="s">
        <v>377</v>
      </c>
      <c r="E18" s="1" t="s">
        <v>219</v>
      </c>
      <c r="F18" s="1" t="s">
        <v>15</v>
      </c>
      <c r="G18" s="1" t="s">
        <v>378</v>
      </c>
      <c r="H18" s="30" t="s">
        <v>1532</v>
      </c>
      <c r="I18" s="1" t="s">
        <v>295</v>
      </c>
      <c r="J18" s="1" t="s">
        <v>295</v>
      </c>
      <c r="K18" s="1" t="s">
        <v>454</v>
      </c>
      <c r="L18" s="24" t="s">
        <v>379</v>
      </c>
    </row>
    <row r="19" spans="1:12" ht="29.5" thickBot="1" x14ac:dyDescent="0.4">
      <c r="A19" s="3" t="s">
        <v>380</v>
      </c>
      <c r="B19" s="1" t="s">
        <v>285</v>
      </c>
      <c r="C19" s="1" t="s">
        <v>297</v>
      </c>
      <c r="D19" s="1" t="s">
        <v>381</v>
      </c>
      <c r="E19" s="1" t="s">
        <v>257</v>
      </c>
      <c r="F19" s="1" t="s">
        <v>15</v>
      </c>
      <c r="G19" s="1" t="s">
        <v>382</v>
      </c>
      <c r="H19" s="30" t="s">
        <v>1533</v>
      </c>
      <c r="I19" s="1" t="s">
        <v>295</v>
      </c>
      <c r="J19" s="1" t="s">
        <v>295</v>
      </c>
      <c r="K19" s="1" t="s">
        <v>454</v>
      </c>
      <c r="L19" s="24" t="s">
        <v>383</v>
      </c>
    </row>
    <row r="20" spans="1:12" ht="39" thickBot="1" x14ac:dyDescent="0.4">
      <c r="A20" s="3" t="s">
        <v>223</v>
      </c>
      <c r="B20" s="1" t="s">
        <v>285</v>
      </c>
      <c r="C20" s="1" t="s">
        <v>376</v>
      </c>
      <c r="D20" s="1" t="s">
        <v>384</v>
      </c>
      <c r="E20" s="1" t="s">
        <v>219</v>
      </c>
      <c r="F20" s="1" t="s">
        <v>15</v>
      </c>
      <c r="G20" s="1" t="s">
        <v>225</v>
      </c>
      <c r="H20" s="30" t="s">
        <v>1534</v>
      </c>
      <c r="I20" s="1" t="s">
        <v>295</v>
      </c>
      <c r="J20" s="1" t="s">
        <v>295</v>
      </c>
      <c r="K20" s="1" t="s">
        <v>454</v>
      </c>
      <c r="L20" s="24" t="s">
        <v>385</v>
      </c>
    </row>
    <row r="21" spans="1:12" ht="51.5" thickBot="1" x14ac:dyDescent="0.4">
      <c r="A21" s="3" t="s">
        <v>217</v>
      </c>
      <c r="B21" s="1" t="s">
        <v>285</v>
      </c>
      <c r="C21" s="1" t="s">
        <v>292</v>
      </c>
      <c r="D21" s="1" t="s">
        <v>386</v>
      </c>
      <c r="E21" s="1" t="s">
        <v>219</v>
      </c>
      <c r="F21" s="1" t="s">
        <v>15</v>
      </c>
      <c r="G21" s="1" t="s">
        <v>220</v>
      </c>
      <c r="H21" s="30" t="s">
        <v>1535</v>
      </c>
      <c r="I21" s="2" t="s">
        <v>221</v>
      </c>
      <c r="J21" s="1" t="s">
        <v>295</v>
      </c>
      <c r="K21" s="1" t="s">
        <v>454</v>
      </c>
      <c r="L21" s="24" t="s">
        <v>221</v>
      </c>
    </row>
    <row r="22" spans="1:12" ht="44" thickBot="1" x14ac:dyDescent="0.4">
      <c r="A22" s="3" t="s">
        <v>402</v>
      </c>
      <c r="B22" s="1" t="s">
        <v>285</v>
      </c>
      <c r="C22" s="1" t="s">
        <v>398</v>
      </c>
      <c r="D22" s="1" t="s">
        <v>403</v>
      </c>
      <c r="E22" s="1" t="s">
        <v>404</v>
      </c>
      <c r="F22" s="1" t="s">
        <v>15</v>
      </c>
      <c r="G22" s="1" t="s">
        <v>405</v>
      </c>
      <c r="H22" s="30" t="s">
        <v>1519</v>
      </c>
      <c r="I22" s="2" t="s">
        <v>407</v>
      </c>
      <c r="J22" s="1" t="s">
        <v>295</v>
      </c>
      <c r="K22" s="1" t="s">
        <v>454</v>
      </c>
      <c r="L22" s="24" t="s">
        <v>406</v>
      </c>
    </row>
    <row r="23" spans="1:12" ht="39" thickBot="1" x14ac:dyDescent="0.4">
      <c r="A23" s="3" t="s">
        <v>408</v>
      </c>
      <c r="B23" s="1" t="s">
        <v>285</v>
      </c>
      <c r="C23" s="1" t="s">
        <v>292</v>
      </c>
      <c r="D23" s="1" t="s">
        <v>409</v>
      </c>
      <c r="E23" s="1" t="s">
        <v>219</v>
      </c>
      <c r="F23" s="1" t="s">
        <v>15</v>
      </c>
      <c r="G23" s="1" t="s">
        <v>410</v>
      </c>
      <c r="H23" s="30" t="s">
        <v>1536</v>
      </c>
      <c r="I23" s="1" t="s">
        <v>295</v>
      </c>
      <c r="J23" s="1" t="s">
        <v>295</v>
      </c>
      <c r="K23" s="1" t="s">
        <v>455</v>
      </c>
      <c r="L23" s="24" t="s">
        <v>411</v>
      </c>
    </row>
    <row r="24" spans="1:12" ht="39" thickBot="1" x14ac:dyDescent="0.4">
      <c r="A24" s="3" t="s">
        <v>416</v>
      </c>
      <c r="B24" s="1" t="s">
        <v>285</v>
      </c>
      <c r="C24" s="1" t="s">
        <v>292</v>
      </c>
      <c r="D24" s="1" t="s">
        <v>417</v>
      </c>
      <c r="E24" s="1" t="s">
        <v>104</v>
      </c>
      <c r="F24" s="1" t="s">
        <v>15</v>
      </c>
      <c r="G24" s="1" t="s">
        <v>418</v>
      </c>
      <c r="H24" s="30" t="s">
        <v>1537</v>
      </c>
      <c r="I24" s="1" t="s">
        <v>295</v>
      </c>
      <c r="J24" s="1" t="s">
        <v>295</v>
      </c>
      <c r="K24" s="1" t="s">
        <v>454</v>
      </c>
      <c r="L24" s="24" t="s">
        <v>419</v>
      </c>
    </row>
    <row r="25" spans="1:12" ht="44" thickBot="1" x14ac:dyDescent="0.4">
      <c r="A25" s="3" t="s">
        <v>420</v>
      </c>
      <c r="B25" s="1" t="s">
        <v>285</v>
      </c>
      <c r="C25" s="1" t="s">
        <v>12</v>
      </c>
      <c r="D25" s="1" t="s">
        <v>421</v>
      </c>
      <c r="E25" s="1" t="s">
        <v>104</v>
      </c>
      <c r="F25" s="1" t="s">
        <v>15</v>
      </c>
      <c r="G25" s="1" t="s">
        <v>422</v>
      </c>
      <c r="H25" s="30" t="s">
        <v>1538</v>
      </c>
      <c r="I25" s="2" t="s">
        <v>423</v>
      </c>
      <c r="J25" s="1" t="s">
        <v>295</v>
      </c>
      <c r="K25" s="1" t="s">
        <v>454</v>
      </c>
      <c r="L25" s="24" t="s">
        <v>424</v>
      </c>
    </row>
    <row r="26" spans="1:12" ht="29.5" thickBot="1" x14ac:dyDescent="0.4">
      <c r="A26" s="3" t="s">
        <v>425</v>
      </c>
      <c r="B26" s="1" t="s">
        <v>285</v>
      </c>
      <c r="C26" s="1" t="s">
        <v>292</v>
      </c>
      <c r="D26" s="1" t="s">
        <v>426</v>
      </c>
      <c r="E26" s="1" t="s">
        <v>427</v>
      </c>
      <c r="F26" s="1" t="s">
        <v>15</v>
      </c>
      <c r="G26" s="1" t="s">
        <v>428</v>
      </c>
      <c r="H26" s="30" t="s">
        <v>1539</v>
      </c>
      <c r="I26" s="1" t="s">
        <v>295</v>
      </c>
      <c r="J26" s="1" t="s">
        <v>295</v>
      </c>
      <c r="K26" s="1" t="s">
        <v>454</v>
      </c>
      <c r="L26" s="24" t="s">
        <v>429</v>
      </c>
    </row>
    <row r="27" spans="1:12" ht="26.5" thickBot="1" x14ac:dyDescent="0.4">
      <c r="A27" s="3" t="s">
        <v>430</v>
      </c>
      <c r="B27" s="1" t="s">
        <v>285</v>
      </c>
      <c r="C27" s="1" t="s">
        <v>292</v>
      </c>
      <c r="D27" s="1" t="s">
        <v>431</v>
      </c>
      <c r="E27" s="1" t="s">
        <v>432</v>
      </c>
      <c r="F27" s="1" t="s">
        <v>15</v>
      </c>
      <c r="G27" s="1" t="s">
        <v>433</v>
      </c>
      <c r="H27" s="30" t="s">
        <v>1540</v>
      </c>
      <c r="I27" s="2" t="s">
        <v>434</v>
      </c>
      <c r="J27" s="1" t="s">
        <v>435</v>
      </c>
      <c r="K27" s="1" t="s">
        <v>454</v>
      </c>
      <c r="L27" s="24" t="s">
        <v>436</v>
      </c>
    </row>
    <row r="28" spans="1:12" ht="29.5" thickBot="1" x14ac:dyDescent="0.4">
      <c r="A28" s="3" t="s">
        <v>437</v>
      </c>
      <c r="B28" s="1" t="s">
        <v>285</v>
      </c>
      <c r="C28" s="1" t="s">
        <v>297</v>
      </c>
      <c r="D28" s="1" t="s">
        <v>438</v>
      </c>
      <c r="E28" s="1" t="s">
        <v>439</v>
      </c>
      <c r="F28" s="1" t="s">
        <v>15</v>
      </c>
      <c r="G28" s="1" t="s">
        <v>440</v>
      </c>
      <c r="H28" s="30" t="s">
        <v>1454</v>
      </c>
      <c r="I28" s="2" t="s">
        <v>327</v>
      </c>
      <c r="J28" s="1" t="s">
        <v>295</v>
      </c>
      <c r="K28" s="1" t="s">
        <v>454</v>
      </c>
      <c r="L28" s="24" t="s">
        <v>148</v>
      </c>
    </row>
    <row r="29" spans="1:12" ht="39" thickBot="1" x14ac:dyDescent="0.4">
      <c r="A29" s="3" t="s">
        <v>441</v>
      </c>
      <c r="B29" s="1" t="s">
        <v>285</v>
      </c>
      <c r="C29" s="1" t="s">
        <v>297</v>
      </c>
      <c r="D29" s="1" t="s">
        <v>442</v>
      </c>
      <c r="E29" s="1" t="s">
        <v>122</v>
      </c>
      <c r="F29" s="1" t="s">
        <v>15</v>
      </c>
      <c r="G29" s="1" t="s">
        <v>42</v>
      </c>
      <c r="H29" s="30" t="s">
        <v>1457</v>
      </c>
      <c r="I29" s="2" t="s">
        <v>299</v>
      </c>
      <c r="J29" s="1" t="s">
        <v>295</v>
      </c>
      <c r="K29" s="1" t="s">
        <v>454</v>
      </c>
      <c r="L29" s="24" t="s">
        <v>43</v>
      </c>
    </row>
    <row r="30" spans="1:12" ht="39" thickBot="1" x14ac:dyDescent="0.4">
      <c r="A30" s="3" t="s">
        <v>132</v>
      </c>
      <c r="B30" s="1" t="s">
        <v>285</v>
      </c>
      <c r="C30" s="1" t="s">
        <v>12</v>
      </c>
      <c r="D30" s="1" t="s">
        <v>443</v>
      </c>
      <c r="E30" s="1" t="s">
        <v>117</v>
      </c>
      <c r="F30" s="1" t="s">
        <v>15</v>
      </c>
      <c r="G30" s="1" t="s">
        <v>134</v>
      </c>
      <c r="H30" s="30" t="s">
        <v>1541</v>
      </c>
      <c r="I30" s="1" t="s">
        <v>295</v>
      </c>
      <c r="J30" s="1" t="s">
        <v>295</v>
      </c>
      <c r="K30" s="1" t="s">
        <v>454</v>
      </c>
      <c r="L30" s="24" t="s">
        <v>135</v>
      </c>
    </row>
    <row r="31" spans="1:12" ht="44" thickBot="1" x14ac:dyDescent="0.4">
      <c r="A31" s="3" t="s">
        <v>444</v>
      </c>
      <c r="B31" s="1" t="s">
        <v>285</v>
      </c>
      <c r="C31" s="1" t="s">
        <v>12</v>
      </c>
      <c r="D31" s="1" t="s">
        <v>445</v>
      </c>
      <c r="E31" s="1" t="s">
        <v>104</v>
      </c>
      <c r="F31" s="1" t="s">
        <v>15</v>
      </c>
      <c r="G31" s="1" t="s">
        <v>422</v>
      </c>
      <c r="H31" s="30" t="s">
        <v>1542</v>
      </c>
      <c r="I31" s="2" t="s">
        <v>423</v>
      </c>
      <c r="J31" s="1" t="s">
        <v>295</v>
      </c>
      <c r="K31" s="1" t="s">
        <v>454</v>
      </c>
      <c r="L31" s="24" t="s">
        <v>423</v>
      </c>
    </row>
    <row r="32" spans="1:12" ht="39" thickBot="1" x14ac:dyDescent="0.4">
      <c r="A32" s="3" t="s">
        <v>81</v>
      </c>
      <c r="B32" s="1" t="s">
        <v>285</v>
      </c>
      <c r="C32" s="1" t="s">
        <v>340</v>
      </c>
      <c r="D32" s="1" t="s">
        <v>83</v>
      </c>
      <c r="E32" s="1" t="s">
        <v>78</v>
      </c>
      <c r="F32" s="1" t="s">
        <v>15</v>
      </c>
      <c r="G32" s="1" t="s">
        <v>446</v>
      </c>
      <c r="H32" s="30" t="s">
        <v>1451</v>
      </c>
      <c r="I32" s="1" t="s">
        <v>295</v>
      </c>
      <c r="J32" s="1" t="s">
        <v>295</v>
      </c>
      <c r="K32" s="1" t="s">
        <v>454</v>
      </c>
      <c r="L32" s="24" t="s">
        <v>447</v>
      </c>
    </row>
    <row r="33" spans="1:12" ht="39" thickBot="1" x14ac:dyDescent="0.4">
      <c r="A33" s="7" t="s">
        <v>448</v>
      </c>
      <c r="B33" s="8" t="s">
        <v>285</v>
      </c>
      <c r="C33" s="8" t="s">
        <v>31</v>
      </c>
      <c r="D33" s="8" t="s">
        <v>449</v>
      </c>
      <c r="E33" s="8" t="s">
        <v>14</v>
      </c>
      <c r="F33" s="8" t="s">
        <v>15</v>
      </c>
      <c r="G33" s="8" t="s">
        <v>450</v>
      </c>
      <c r="H33" s="30" t="s">
        <v>1496</v>
      </c>
      <c r="I33" s="9" t="s">
        <v>452</v>
      </c>
      <c r="J33" s="8" t="s">
        <v>453</v>
      </c>
      <c r="K33" s="8" t="s">
        <v>455</v>
      </c>
      <c r="L33" s="25" t="s">
        <v>451</v>
      </c>
    </row>
    <row r="34" spans="1:12" ht="39" thickBot="1" x14ac:dyDescent="0.4">
      <c r="A34" s="3" t="s">
        <v>353</v>
      </c>
      <c r="B34" s="1" t="s">
        <v>285</v>
      </c>
      <c r="C34" s="1" t="s">
        <v>354</v>
      </c>
      <c r="D34" s="1" t="s">
        <v>355</v>
      </c>
      <c r="E34" s="1" t="s">
        <v>172</v>
      </c>
      <c r="F34" s="1" t="s">
        <v>15</v>
      </c>
      <c r="G34" s="1"/>
      <c r="H34" s="30" t="s">
        <v>1543</v>
      </c>
      <c r="I34" s="2" t="s">
        <v>356</v>
      </c>
      <c r="J34" s="1" t="s">
        <v>295</v>
      </c>
      <c r="K34" s="1" t="s">
        <v>454</v>
      </c>
      <c r="L34" s="24" t="s">
        <v>356</v>
      </c>
    </row>
    <row r="35" spans="1:12" ht="39" thickBot="1" x14ac:dyDescent="0.4">
      <c r="A35" s="3" t="s">
        <v>357</v>
      </c>
      <c r="B35" s="1" t="s">
        <v>285</v>
      </c>
      <c r="C35" s="1" t="s">
        <v>292</v>
      </c>
      <c r="D35" s="1" t="s">
        <v>358</v>
      </c>
      <c r="E35" s="1" t="s">
        <v>172</v>
      </c>
      <c r="F35" s="1" t="s">
        <v>15</v>
      </c>
      <c r="G35" s="1"/>
      <c r="H35" s="30" t="s">
        <v>1468</v>
      </c>
      <c r="I35" s="1" t="s">
        <v>295</v>
      </c>
      <c r="J35" s="1" t="s">
        <v>295</v>
      </c>
      <c r="K35" s="1" t="s">
        <v>454</v>
      </c>
      <c r="L35" s="24" t="s">
        <v>359</v>
      </c>
    </row>
    <row r="36" spans="1:12" ht="39" thickBot="1" x14ac:dyDescent="0.4">
      <c r="A36" s="3" t="s">
        <v>154</v>
      </c>
      <c r="B36" s="1" t="s">
        <v>285</v>
      </c>
      <c r="C36" s="1" t="s">
        <v>354</v>
      </c>
      <c r="D36" s="1" t="s">
        <v>360</v>
      </c>
      <c r="E36" s="1" t="s">
        <v>151</v>
      </c>
      <c r="F36" s="1" t="s">
        <v>15</v>
      </c>
      <c r="G36" s="1"/>
      <c r="H36" s="30" t="s">
        <v>1544</v>
      </c>
      <c r="I36" s="1" t="s">
        <v>295</v>
      </c>
      <c r="J36" s="1" t="s">
        <v>295</v>
      </c>
      <c r="K36" s="1" t="s">
        <v>454</v>
      </c>
      <c r="L36" s="24" t="s">
        <v>361</v>
      </c>
    </row>
    <row r="37" spans="1:12" ht="39" thickBot="1" x14ac:dyDescent="0.4">
      <c r="A37" s="3" t="s">
        <v>362</v>
      </c>
      <c r="B37" s="1" t="s">
        <v>285</v>
      </c>
      <c r="C37" s="1" t="s">
        <v>363</v>
      </c>
      <c r="D37" s="1" t="s">
        <v>364</v>
      </c>
      <c r="E37" s="1" t="s">
        <v>276</v>
      </c>
      <c r="F37" s="1" t="s">
        <v>15</v>
      </c>
      <c r="G37" s="1"/>
      <c r="H37" s="30" t="s">
        <v>1545</v>
      </c>
      <c r="I37" s="2" t="s">
        <v>366</v>
      </c>
      <c r="J37" s="1" t="s">
        <v>295</v>
      </c>
      <c r="K37" s="1" t="s">
        <v>454</v>
      </c>
      <c r="L37" s="24" t="s">
        <v>365</v>
      </c>
    </row>
    <row r="38" spans="1:12" ht="29.5" thickBot="1" x14ac:dyDescent="0.4">
      <c r="A38" s="7" t="s">
        <v>367</v>
      </c>
      <c r="B38" s="8" t="s">
        <v>285</v>
      </c>
      <c r="C38" s="8" t="s">
        <v>12</v>
      </c>
      <c r="D38" s="8" t="s">
        <v>368</v>
      </c>
      <c r="E38" s="8" t="s">
        <v>276</v>
      </c>
      <c r="F38" s="8" t="s">
        <v>15</v>
      </c>
      <c r="G38" s="8"/>
      <c r="H38" s="30" t="s">
        <v>1546</v>
      </c>
      <c r="I38" s="1" t="s">
        <v>295</v>
      </c>
      <c r="J38" s="8" t="s">
        <v>295</v>
      </c>
      <c r="K38" s="8" t="s">
        <v>455</v>
      </c>
      <c r="L38" s="25" t="s">
        <v>369</v>
      </c>
    </row>
    <row r="39" spans="1:12" ht="39" thickBot="1" x14ac:dyDescent="0.4">
      <c r="A39" s="7" t="s">
        <v>412</v>
      </c>
      <c r="B39" s="8" t="s">
        <v>285</v>
      </c>
      <c r="C39" s="8" t="s">
        <v>82</v>
      </c>
      <c r="D39" s="8" t="s">
        <v>413</v>
      </c>
      <c r="E39" s="8" t="s">
        <v>414</v>
      </c>
      <c r="F39" s="8" t="s">
        <v>15</v>
      </c>
      <c r="G39" s="8"/>
      <c r="H39" s="30" t="s">
        <v>1498</v>
      </c>
      <c r="I39" s="9" t="s">
        <v>391</v>
      </c>
      <c r="J39" s="9" t="s">
        <v>392</v>
      </c>
      <c r="K39" s="8" t="s">
        <v>455</v>
      </c>
      <c r="L39" s="25" t="s">
        <v>415</v>
      </c>
    </row>
    <row r="40" spans="1:12" ht="29.5" thickBot="1" x14ac:dyDescent="0.4">
      <c r="A40" s="3" t="s">
        <v>387</v>
      </c>
      <c r="B40" s="1" t="s">
        <v>285</v>
      </c>
      <c r="C40" s="1" t="s">
        <v>82</v>
      </c>
      <c r="D40" s="1" t="s">
        <v>388</v>
      </c>
      <c r="E40" s="1" t="s">
        <v>389</v>
      </c>
      <c r="F40" s="1" t="s">
        <v>15</v>
      </c>
      <c r="G40" s="1"/>
      <c r="H40" s="30" t="s">
        <v>1547</v>
      </c>
      <c r="I40" s="2" t="s">
        <v>391</v>
      </c>
      <c r="J40" s="1" t="s">
        <v>392</v>
      </c>
      <c r="K40" s="1" t="s">
        <v>454</v>
      </c>
      <c r="L40" s="24" t="s">
        <v>390</v>
      </c>
    </row>
    <row r="41" spans="1:12" ht="39" thickBot="1" x14ac:dyDescent="0.4">
      <c r="A41" s="3" t="s">
        <v>393</v>
      </c>
      <c r="B41" s="1" t="s">
        <v>285</v>
      </c>
      <c r="C41" s="1" t="s">
        <v>376</v>
      </c>
      <c r="D41" s="1" t="s">
        <v>394</v>
      </c>
      <c r="E41" s="1" t="s">
        <v>395</v>
      </c>
      <c r="F41" s="1" t="s">
        <v>15</v>
      </c>
      <c r="G41" s="1"/>
      <c r="H41" s="30" t="s">
        <v>1548</v>
      </c>
      <c r="I41" s="1" t="s">
        <v>295</v>
      </c>
      <c r="J41" s="1" t="s">
        <v>295</v>
      </c>
      <c r="K41" s="1" t="s">
        <v>455</v>
      </c>
      <c r="L41" s="24" t="s">
        <v>396</v>
      </c>
    </row>
    <row r="42" spans="1:12" ht="39" thickBot="1" x14ac:dyDescent="0.4">
      <c r="A42" s="7" t="s">
        <v>397</v>
      </c>
      <c r="B42" s="8" t="s">
        <v>285</v>
      </c>
      <c r="C42" s="8" t="s">
        <v>398</v>
      </c>
      <c r="D42" s="8" t="s">
        <v>399</v>
      </c>
      <c r="E42" s="8" t="s">
        <v>400</v>
      </c>
      <c r="F42" s="8" t="s">
        <v>15</v>
      </c>
      <c r="G42" s="8"/>
      <c r="H42" s="30" t="s">
        <v>1474</v>
      </c>
      <c r="I42" s="9" t="s">
        <v>366</v>
      </c>
      <c r="J42" s="8" t="s">
        <v>295</v>
      </c>
      <c r="K42" s="8" t="s">
        <v>454</v>
      </c>
      <c r="L42" s="25" t="s">
        <v>401</v>
      </c>
    </row>
    <row r="45" spans="1:12" x14ac:dyDescent="0.35">
      <c r="A45" s="23" t="s">
        <v>456</v>
      </c>
      <c r="B45" s="23">
        <f>COUNTIF(Table3[[#All],[Verification Status]],"Yes")</f>
        <v>36</v>
      </c>
    </row>
    <row r="46" spans="1:12" x14ac:dyDescent="0.35">
      <c r="A46" s="23" t="s">
        <v>459</v>
      </c>
      <c r="B46" s="23">
        <f>COUNTIF(Table3[Contact Number],"")</f>
        <v>9</v>
      </c>
    </row>
    <row r="47" spans="1:12" x14ac:dyDescent="0.35">
      <c r="A47" s="23" t="s">
        <v>458</v>
      </c>
      <c r="B47" s="23">
        <f>COUNTIF(Table3[Email Address],"Not Available")</f>
        <v>34</v>
      </c>
    </row>
    <row r="48" spans="1:12" x14ac:dyDescent="0.35">
      <c r="A48" s="23" t="s">
        <v>457</v>
      </c>
      <c r="B48" s="23">
        <f>COUNTIF(I2:I42,"Not Available")</f>
        <v>20</v>
      </c>
    </row>
  </sheetData>
  <hyperlinks>
    <hyperlink ref="L2" r:id="rId1" xr:uid="{727A6A3B-D21F-4D0C-B9DF-3F5061DE8233}"/>
    <hyperlink ref="I3" r:id="rId2" xr:uid="{3FEC2FBB-419F-4C9A-BD60-19E8F98931BD}"/>
    <hyperlink ref="L3" r:id="rId3" xr:uid="{7F218824-0B70-4FFC-B42D-CCBC6976B09C}"/>
    <hyperlink ref="I4" r:id="rId4" xr:uid="{E312817F-2C61-4CD6-A7C4-5FCE90550F54}"/>
    <hyperlink ref="L4" r:id="rId5" xr:uid="{87CE11D8-B9E2-45E9-A7F2-FA69F391C4C4}"/>
    <hyperlink ref="L5" r:id="rId6" xr:uid="{D98F5B77-B780-4151-A968-F396EE35EC5C}"/>
    <hyperlink ref="L6" r:id="rId7" xr:uid="{368975BD-8FC6-438A-B0A8-78F9B469D940}"/>
    <hyperlink ref="L7" r:id="rId8" xr:uid="{D9C292B2-7822-48C6-A559-119F617988F2}"/>
    <hyperlink ref="I8" r:id="rId9" xr:uid="{984EF641-E181-466C-BF49-4790FF781CFA}"/>
    <hyperlink ref="L8" r:id="rId10" xr:uid="{754C8D57-026E-48C7-A86B-E96EEDD1D479}"/>
    <hyperlink ref="I9" r:id="rId11" xr:uid="{94C6A4D8-F2CA-45EF-B2D8-9100F8E9B3BB}"/>
    <hyperlink ref="L9" r:id="rId12" xr:uid="{2E0B2E14-D046-40AE-AA35-12B890D892C9}"/>
    <hyperlink ref="I10" r:id="rId13" xr:uid="{15203D5B-5839-4F57-971C-BD6868A9235B}"/>
    <hyperlink ref="L10" r:id="rId14" xr:uid="{F00AB719-2F75-494E-8275-936C82D179B6}"/>
    <hyperlink ref="L11" r:id="rId15" xr:uid="{D2279AB3-67BF-4BEA-9FB7-67AEF82AC433}"/>
    <hyperlink ref="L12" r:id="rId16" xr:uid="{000F3242-F79A-47DA-A1FA-E31FD289CA92}"/>
    <hyperlink ref="L13" r:id="rId17" xr:uid="{7DCF7AFA-1F20-4630-92BA-E15FB66EBBD1}"/>
    <hyperlink ref="I14" r:id="rId18" xr:uid="{34E1F9E5-FC04-441C-9D13-EF8300396C97}"/>
    <hyperlink ref="L14" r:id="rId19" xr:uid="{4E09C9D2-0E54-4CC8-AA1F-A69019FE948F}"/>
    <hyperlink ref="I15" r:id="rId20" xr:uid="{A992A222-D69C-4AEF-97B2-70E9005645F0}"/>
    <hyperlink ref="L15" r:id="rId21" xr:uid="{42159B5E-A53C-4B5F-BDFF-AB603CFB77F8}"/>
    <hyperlink ref="I16" r:id="rId22" xr:uid="{9B87D22A-3633-46C4-974F-3D5DEE383C73}"/>
    <hyperlink ref="L16" r:id="rId23" xr:uid="{29721768-CBB0-4C5D-B1E0-E3145364126D}"/>
    <hyperlink ref="I34" r:id="rId24" xr:uid="{92DAAF1B-B27F-48BE-AAE4-5F4FE9469A3B}"/>
    <hyperlink ref="L34" r:id="rId25" xr:uid="{44C3EB46-6B50-4A64-9358-1FFC6BDBAB32}"/>
    <hyperlink ref="L35" r:id="rId26" xr:uid="{06A886D8-CDAE-4BD6-9857-7F0A38107AE0}"/>
    <hyperlink ref="L36" r:id="rId27" xr:uid="{6BE67885-E7BB-4E5C-BF7C-22CC19DCC100}"/>
    <hyperlink ref="I37" r:id="rId28" xr:uid="{DDC137B1-21E2-484B-8915-E80D1EB606FE}"/>
    <hyperlink ref="L37" r:id="rId29" xr:uid="{8DD15E5A-E7C6-4251-A43D-D3402024AAE4}"/>
    <hyperlink ref="L38" r:id="rId30" xr:uid="{6E70FE05-F8DE-4E64-8399-DDE530C4BC52}"/>
    <hyperlink ref="L17" r:id="rId31" xr:uid="{8E9F17D6-37E8-4966-81A9-57045DF57D40}"/>
    <hyperlink ref="L18" r:id="rId32" xr:uid="{DDBF9814-86DE-4989-86D3-5C1ACEA0CEAE}"/>
    <hyperlink ref="L19" r:id="rId33" xr:uid="{933CBC58-E114-4AF1-8671-D96F11B26137}"/>
    <hyperlink ref="L20" r:id="rId34" xr:uid="{3703B74B-B82B-400A-ACE9-B49534B6DFFF}"/>
    <hyperlink ref="I21" r:id="rId35" xr:uid="{D39428F6-55D7-488C-9DE7-56D0A2D018B9}"/>
    <hyperlink ref="L21" r:id="rId36" xr:uid="{89F0F1E9-17FE-4ECF-9188-723B1B60C974}"/>
    <hyperlink ref="I40" r:id="rId37" xr:uid="{0F0D513D-EDC0-4E96-A746-AC83B935EC13}"/>
    <hyperlink ref="L40" r:id="rId38" xr:uid="{6D3846E3-6D90-4777-AFE2-18F0207FBC78}"/>
    <hyperlink ref="L41" r:id="rId39" xr:uid="{8CF5E17A-0673-48D1-9F3F-81E031F49F04}"/>
    <hyperlink ref="I42" r:id="rId40" xr:uid="{3D980EAC-C9AE-4EEF-B580-6094B83FCF15}"/>
    <hyperlink ref="L42" r:id="rId41" xr:uid="{D8AF6EAD-C30D-45E6-B8B3-73C3F02782CA}"/>
    <hyperlink ref="I22" r:id="rId42" xr:uid="{6E0DD84C-86BD-4EC3-963A-747D85E92FB4}"/>
    <hyperlink ref="L22" r:id="rId43" xr:uid="{09AC2086-32E2-4BAD-A98F-61FB0FB9BCE8}"/>
    <hyperlink ref="L23" r:id="rId44" xr:uid="{925E30A6-93F4-4957-BC76-3B6154B0A01F}"/>
    <hyperlink ref="I39" r:id="rId45" xr:uid="{227AE68F-60F5-4AC5-A7B2-BA18099FE3B5}"/>
    <hyperlink ref="L39" r:id="rId46" xr:uid="{E26002DF-A88A-4353-B82B-5D983200EED3}"/>
    <hyperlink ref="L24" r:id="rId47" xr:uid="{EEBF26BF-BD01-4D94-A547-F01421DF9EF8}"/>
    <hyperlink ref="I25" r:id="rId48" xr:uid="{991029B5-4675-47E0-B52A-937165ED55DF}"/>
    <hyperlink ref="L25" r:id="rId49" xr:uid="{33B6998D-EA6A-4FE6-B41E-BD9109631F51}"/>
    <hyperlink ref="L26" r:id="rId50" xr:uid="{0F8A27D4-9433-4870-80E3-4E27144F0992}"/>
    <hyperlink ref="I27" r:id="rId51" xr:uid="{101F1B96-0A9D-49A6-B8B0-9D1D379D3D66}"/>
    <hyperlink ref="L27" r:id="rId52" xr:uid="{9C8BE53F-8194-435A-8973-94571B11B04B}"/>
    <hyperlink ref="I28" r:id="rId53" xr:uid="{E6878CDB-F155-4812-A848-C32A45312E47}"/>
    <hyperlink ref="L28" r:id="rId54" xr:uid="{41FC2EB5-EDF3-4EA7-84F3-46489D14CFF3}"/>
    <hyperlink ref="I29" r:id="rId55" xr:uid="{3537FB02-5439-466A-8CC8-510DC26A2F63}"/>
    <hyperlink ref="L29" r:id="rId56" xr:uid="{AC95530F-3435-4FD2-B436-7B4913054C13}"/>
    <hyperlink ref="L30" r:id="rId57" xr:uid="{D5CBCC0A-F753-40AB-8BC0-339C14177F34}"/>
    <hyperlink ref="I31" r:id="rId58" xr:uid="{4A6A5095-52DC-4C31-A258-A08AC34DB512}"/>
    <hyperlink ref="L31" r:id="rId59" xr:uid="{4CD13B73-2C35-4925-ACE2-2BABA98F4870}"/>
    <hyperlink ref="L32" r:id="rId60" xr:uid="{4CBD58CC-F865-408E-B7B2-19A70F77A782}"/>
    <hyperlink ref="I33" r:id="rId61" xr:uid="{D797CE46-8D45-47A9-80B7-B75DDB19D177}"/>
    <hyperlink ref="L33" r:id="rId62" xr:uid="{CBA9ED54-C609-493B-97FB-616FD67947FD}"/>
    <hyperlink ref="J39" r:id="rId63" xr:uid="{45D52C82-6923-447D-9F9C-934A04B5BE4A}"/>
    <hyperlink ref="H2" r:id="rId64" xr:uid="{847379A4-8D69-4F93-9E88-F3C12D8BDA41}"/>
    <hyperlink ref="H3" r:id="rId65" xr:uid="{1A33A5BE-51F6-48A1-AE56-A02D831A1B80}"/>
    <hyperlink ref="H4" r:id="rId66" xr:uid="{5F144958-5505-4C7C-9668-754289179E11}"/>
    <hyperlink ref="H5" r:id="rId67" xr:uid="{631E8A5C-6C53-4E7A-AD76-32A4B7B74B40}"/>
    <hyperlink ref="H6" r:id="rId68" xr:uid="{C0B40822-6316-4B0F-9303-D161359EC7B9}"/>
    <hyperlink ref="H7" r:id="rId69" xr:uid="{8FFCDA00-A696-4F0D-BC44-410A4BBF0466}"/>
    <hyperlink ref="H8" r:id="rId70" xr:uid="{E961CF56-B991-451B-9C75-074BECE5B980}"/>
    <hyperlink ref="H9" r:id="rId71" xr:uid="{CAE4047F-90DC-4BCC-B984-DE2B737EE8DF}"/>
    <hyperlink ref="H10" r:id="rId72" xr:uid="{3056A084-3BC0-45EB-A986-D92C9482A0D9}"/>
    <hyperlink ref="H11" r:id="rId73" xr:uid="{DDD7E4C7-F694-4AB1-BB9B-EFED136EB3B0}"/>
    <hyperlink ref="H12" r:id="rId74" xr:uid="{0045A6C4-8A69-4588-B371-065C15A131C8}"/>
    <hyperlink ref="H13" r:id="rId75" xr:uid="{793C2EFB-0810-4525-9272-0610452C1EC7}"/>
    <hyperlink ref="H14" r:id="rId76" xr:uid="{C1A77BED-FBEF-4D4A-AD00-B608272F46CD}"/>
    <hyperlink ref="H15" r:id="rId77" xr:uid="{F0F74127-8C97-4B3B-BE30-9A70C3EE49AC}"/>
    <hyperlink ref="H16" r:id="rId78" xr:uid="{40A249C5-EE70-4009-B2C6-23624C928882}"/>
    <hyperlink ref="H17" r:id="rId79" xr:uid="{D7879C36-7852-4BBB-A6FC-395AE451CDBC}"/>
    <hyperlink ref="H18" r:id="rId80" xr:uid="{433AFAB5-21A5-4B97-A1DE-600F29B54BB8}"/>
    <hyperlink ref="H19" r:id="rId81" xr:uid="{651142AC-F5BB-4932-811E-6B17E8879DF0}"/>
    <hyperlink ref="H20" r:id="rId82" xr:uid="{2599A858-E9D6-4328-BC07-24F09AE83E96}"/>
    <hyperlink ref="H21" r:id="rId83" xr:uid="{97446042-4818-4153-99B7-EAC108824E16}"/>
    <hyperlink ref="H22" r:id="rId84" xr:uid="{05C2E1C9-C8F1-43BE-83BC-E99FF39CD469}"/>
    <hyperlink ref="H23" r:id="rId85" xr:uid="{2EE6332C-E02A-475A-A44D-4E5475286043}"/>
    <hyperlink ref="H24" r:id="rId86" xr:uid="{9286EA07-202A-492D-AE41-787BF7ACD02C}"/>
    <hyperlink ref="H25" r:id="rId87" xr:uid="{9D4EB5CF-3136-4B4F-9C35-3EC43B633B8D}"/>
    <hyperlink ref="H26" r:id="rId88" xr:uid="{02663ECD-011A-4E80-8ACB-B6E1CD7385B9}"/>
    <hyperlink ref="H27" r:id="rId89" xr:uid="{8DD1412B-1EE7-460F-9E89-AFA7274D7A62}"/>
    <hyperlink ref="H28" r:id="rId90" xr:uid="{EED768AB-D1F0-4243-BC9F-D3DAC8DBF951}"/>
    <hyperlink ref="H29" r:id="rId91" xr:uid="{3FFE2C98-FF04-4BD4-A1F0-7E441AAB6408}"/>
    <hyperlink ref="H30" r:id="rId92" xr:uid="{36991389-12A3-4424-9ED7-F12A0A9A7010}"/>
    <hyperlink ref="H31" r:id="rId93" xr:uid="{BCDBAE22-0158-4DFA-B84D-75023ECC017E}"/>
    <hyperlink ref="H32" r:id="rId94" xr:uid="{DAB1B1DA-B0BF-4601-8A26-9D35D3E244CB}"/>
    <hyperlink ref="H33" r:id="rId95" xr:uid="{33C209C1-0905-4D35-A0AD-3DB3DE5ABC7A}"/>
    <hyperlink ref="H34" r:id="rId96" xr:uid="{48DD5FCB-759E-4D28-BA92-F6145FD9D9E3}"/>
    <hyperlink ref="H35" r:id="rId97" xr:uid="{FBCB3139-8F0B-41FE-B6B7-DAF6708997BA}"/>
    <hyperlink ref="H36" r:id="rId98" xr:uid="{8AC0B41D-CDFD-41B8-84C6-915639F09827}"/>
    <hyperlink ref="H37" r:id="rId99" xr:uid="{A8895470-028B-48E7-8EF3-FCF86D4B45F4}"/>
    <hyperlink ref="H38" r:id="rId100" xr:uid="{B9C46B41-6A85-4F68-9943-51FBAF13E90B}"/>
    <hyperlink ref="H39" r:id="rId101" xr:uid="{88DC9D1E-200B-4342-9DC0-662BD3FA6864}"/>
    <hyperlink ref="H40" r:id="rId102" xr:uid="{66DA5054-734A-4106-961D-8DD968D7A708}"/>
    <hyperlink ref="H41" r:id="rId103" xr:uid="{5F64DEF0-9A90-487E-8AE7-F9790F8FBDCD}"/>
    <hyperlink ref="H42" r:id="rId104" xr:uid="{C2809055-E5C1-4229-BE7C-1E7C04A9FD65}"/>
  </hyperlinks>
  <pageMargins left="0.7" right="0.7" top="0.75" bottom="0.75" header="0.3" footer="0.3"/>
  <tableParts count="1">
    <tablePart r:id="rId10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833C-D126-401B-BB02-45A0F09D6EF1}">
  <dimension ref="A1:P58"/>
  <sheetViews>
    <sheetView topLeftCell="A47" workbookViewId="0">
      <selection activeCell="A55" sqref="A55:B58"/>
    </sheetView>
  </sheetViews>
  <sheetFormatPr defaultRowHeight="14.5" x14ac:dyDescent="0.35"/>
  <cols>
    <col min="1" max="1" width="25.90625" customWidth="1"/>
    <col min="2" max="2" width="9.26953125" customWidth="1"/>
    <col min="3" max="3" width="15.453125" customWidth="1"/>
    <col min="4" max="4" width="35" customWidth="1"/>
    <col min="5" max="5" width="17.1796875" customWidth="1"/>
    <col min="6" max="6" width="11" customWidth="1"/>
    <col min="7" max="7" width="16.81640625" customWidth="1"/>
    <col min="8" max="8" width="26.54296875" customWidth="1"/>
    <col min="9" max="9" width="26.26953125" customWidth="1"/>
    <col min="10" max="10" width="37.08984375" customWidth="1"/>
    <col min="11" max="11" width="25.36328125" customWidth="1"/>
    <col min="12" max="12" width="17.453125" customWidth="1"/>
    <col min="13" max="13" width="18.81640625" customWidth="1"/>
    <col min="14" max="14" width="21.26953125" customWidth="1"/>
    <col min="15" max="15" width="18.6328125" customWidth="1"/>
    <col min="16" max="16" width="16.08984375" customWidth="1"/>
  </cols>
  <sheetData>
    <row r="1" spans="1:16" ht="1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283</v>
      </c>
      <c r="I1" s="5" t="s">
        <v>485</v>
      </c>
      <c r="J1" s="1" t="s">
        <v>7</v>
      </c>
      <c r="K1" s="5" t="s">
        <v>487</v>
      </c>
      <c r="L1" s="5" t="s">
        <v>930</v>
      </c>
      <c r="M1" s="5" t="s">
        <v>488</v>
      </c>
      <c r="N1" s="5" t="s">
        <v>489</v>
      </c>
      <c r="O1" s="5" t="s">
        <v>8</v>
      </c>
      <c r="P1" s="6" t="s">
        <v>9</v>
      </c>
    </row>
    <row r="2" spans="1:16" ht="29.5" thickBot="1" x14ac:dyDescent="0.4">
      <c r="A2" s="3" t="s">
        <v>931</v>
      </c>
      <c r="B2" s="1" t="s">
        <v>932</v>
      </c>
      <c r="C2" s="1" t="s">
        <v>12</v>
      </c>
      <c r="D2" s="1" t="s">
        <v>933</v>
      </c>
      <c r="E2" s="1" t="s">
        <v>37</v>
      </c>
      <c r="F2" s="1" t="s">
        <v>15</v>
      </c>
      <c r="G2" s="1" t="s">
        <v>841</v>
      </c>
      <c r="H2" s="1" t="s">
        <v>928</v>
      </c>
      <c r="I2" s="1" t="s">
        <v>928</v>
      </c>
      <c r="J2" s="2" t="s">
        <v>1479</v>
      </c>
      <c r="K2" s="1" t="s">
        <v>934</v>
      </c>
      <c r="L2" s="1" t="s">
        <v>935</v>
      </c>
      <c r="M2" s="1" t="s">
        <v>781</v>
      </c>
      <c r="N2" s="1" t="s">
        <v>546</v>
      </c>
      <c r="O2" s="1" t="s">
        <v>455</v>
      </c>
      <c r="P2" s="27" t="s">
        <v>936</v>
      </c>
    </row>
    <row r="3" spans="1:16" ht="39" thickBot="1" x14ac:dyDescent="0.4">
      <c r="A3" s="3" t="s">
        <v>937</v>
      </c>
      <c r="B3" s="1" t="s">
        <v>932</v>
      </c>
      <c r="C3" s="1" t="s">
        <v>12</v>
      </c>
      <c r="D3" s="1" t="s">
        <v>938</v>
      </c>
      <c r="E3" s="1" t="s">
        <v>37</v>
      </c>
      <c r="F3" s="1" t="s">
        <v>15</v>
      </c>
      <c r="G3" s="1" t="s">
        <v>939</v>
      </c>
      <c r="H3" s="1" t="s">
        <v>940</v>
      </c>
      <c r="I3" s="2" t="s">
        <v>941</v>
      </c>
      <c r="J3" s="2" t="s">
        <v>1480</v>
      </c>
      <c r="K3" s="1" t="s">
        <v>942</v>
      </c>
      <c r="L3" s="1" t="s">
        <v>943</v>
      </c>
      <c r="M3" s="1" t="s">
        <v>944</v>
      </c>
      <c r="N3" s="1" t="s">
        <v>540</v>
      </c>
      <c r="O3" s="1" t="s">
        <v>454</v>
      </c>
      <c r="P3" s="27" t="s">
        <v>945</v>
      </c>
    </row>
    <row r="4" spans="1:16" ht="26.5" thickBot="1" x14ac:dyDescent="0.4">
      <c r="A4" s="3" t="s">
        <v>946</v>
      </c>
      <c r="B4" s="1" t="s">
        <v>932</v>
      </c>
      <c r="C4" s="1" t="s">
        <v>12</v>
      </c>
      <c r="D4" s="1" t="s">
        <v>947</v>
      </c>
      <c r="E4" s="1" t="s">
        <v>72</v>
      </c>
      <c r="F4" s="1" t="s">
        <v>15</v>
      </c>
      <c r="G4" s="1" t="s">
        <v>948</v>
      </c>
      <c r="H4" s="1" t="s">
        <v>928</v>
      </c>
      <c r="I4" s="1" t="s">
        <v>928</v>
      </c>
      <c r="J4" s="1" t="s">
        <v>928</v>
      </c>
      <c r="K4" s="1" t="s">
        <v>934</v>
      </c>
      <c r="L4" s="1" t="s">
        <v>949</v>
      </c>
      <c r="M4" s="1" t="s">
        <v>671</v>
      </c>
      <c r="N4" s="1" t="s">
        <v>540</v>
      </c>
      <c r="O4" s="1" t="s">
        <v>455</v>
      </c>
      <c r="P4" s="27" t="s">
        <v>950</v>
      </c>
    </row>
    <row r="5" spans="1:16" ht="39" thickBot="1" x14ac:dyDescent="0.4">
      <c r="A5" s="3" t="s">
        <v>951</v>
      </c>
      <c r="B5" s="1" t="s">
        <v>932</v>
      </c>
      <c r="C5" s="1" t="s">
        <v>31</v>
      </c>
      <c r="D5" s="1" t="s">
        <v>952</v>
      </c>
      <c r="E5" s="1" t="s">
        <v>72</v>
      </c>
      <c r="F5" s="1" t="s">
        <v>15</v>
      </c>
      <c r="G5" s="1" t="s">
        <v>953</v>
      </c>
      <c r="H5" s="1" t="s">
        <v>954</v>
      </c>
      <c r="I5" s="2" t="s">
        <v>955</v>
      </c>
      <c r="J5" s="2" t="s">
        <v>1450</v>
      </c>
      <c r="K5" s="1" t="s">
        <v>956</v>
      </c>
      <c r="L5" s="1" t="s">
        <v>957</v>
      </c>
      <c r="M5" s="1" t="s">
        <v>671</v>
      </c>
      <c r="N5" s="1" t="s">
        <v>958</v>
      </c>
      <c r="O5" s="1" t="s">
        <v>454</v>
      </c>
      <c r="P5" s="26" t="s">
        <v>485</v>
      </c>
    </row>
    <row r="6" spans="1:16" ht="39" thickBot="1" x14ac:dyDescent="0.4">
      <c r="A6" s="3" t="s">
        <v>959</v>
      </c>
      <c r="B6" s="1" t="s">
        <v>932</v>
      </c>
      <c r="C6" s="1" t="s">
        <v>31</v>
      </c>
      <c r="D6" s="1" t="s">
        <v>960</v>
      </c>
      <c r="E6" s="1" t="s">
        <v>117</v>
      </c>
      <c r="F6" s="1" t="s">
        <v>15</v>
      </c>
      <c r="G6" s="1" t="s">
        <v>961</v>
      </c>
      <c r="H6" s="1" t="s">
        <v>928</v>
      </c>
      <c r="I6" s="1" t="s">
        <v>928</v>
      </c>
      <c r="J6" s="2" t="s">
        <v>1481</v>
      </c>
      <c r="K6" s="1" t="s">
        <v>962</v>
      </c>
      <c r="L6" s="1" t="s">
        <v>963</v>
      </c>
      <c r="M6" s="1" t="s">
        <v>964</v>
      </c>
      <c r="N6" s="1" t="s">
        <v>546</v>
      </c>
      <c r="O6" s="1" t="s">
        <v>454</v>
      </c>
      <c r="P6" s="26" t="s">
        <v>94</v>
      </c>
    </row>
    <row r="7" spans="1:16" ht="39" thickBot="1" x14ac:dyDescent="0.4">
      <c r="A7" s="3" t="s">
        <v>965</v>
      </c>
      <c r="B7" s="1" t="s">
        <v>932</v>
      </c>
      <c r="C7" s="1" t="s">
        <v>31</v>
      </c>
      <c r="D7" s="1" t="s">
        <v>966</v>
      </c>
      <c r="E7" s="1" t="s">
        <v>117</v>
      </c>
      <c r="F7" s="1" t="s">
        <v>15</v>
      </c>
      <c r="G7" s="1" t="s">
        <v>967</v>
      </c>
      <c r="H7" s="1" t="s">
        <v>968</v>
      </c>
      <c r="I7" s="2" t="s">
        <v>969</v>
      </c>
      <c r="J7" s="2" t="s">
        <v>1482</v>
      </c>
      <c r="K7" s="1" t="s">
        <v>970</v>
      </c>
      <c r="L7" s="1" t="s">
        <v>971</v>
      </c>
      <c r="M7" s="1" t="s">
        <v>972</v>
      </c>
      <c r="N7" s="1" t="s">
        <v>546</v>
      </c>
      <c r="O7" s="1" t="s">
        <v>454</v>
      </c>
      <c r="P7" s="26" t="s">
        <v>485</v>
      </c>
    </row>
    <row r="8" spans="1:16" ht="50.5" thickBot="1" x14ac:dyDescent="0.4">
      <c r="A8" s="3" t="s">
        <v>973</v>
      </c>
      <c r="B8" s="1" t="s">
        <v>932</v>
      </c>
      <c r="C8" s="1" t="s">
        <v>974</v>
      </c>
      <c r="D8" s="1" t="s">
        <v>975</v>
      </c>
      <c r="E8" s="1" t="s">
        <v>976</v>
      </c>
      <c r="F8" s="1" t="s">
        <v>15</v>
      </c>
      <c r="G8" s="1" t="s">
        <v>977</v>
      </c>
      <c r="H8" s="1" t="s">
        <v>848</v>
      </c>
      <c r="I8" s="2" t="s">
        <v>978</v>
      </c>
      <c r="J8" s="2" t="s">
        <v>1483</v>
      </c>
      <c r="K8" s="1" t="s">
        <v>979</v>
      </c>
      <c r="L8" s="1" t="s">
        <v>980</v>
      </c>
      <c r="M8" s="1" t="s">
        <v>981</v>
      </c>
      <c r="N8" s="1" t="s">
        <v>540</v>
      </c>
      <c r="O8" s="1" t="s">
        <v>454</v>
      </c>
      <c r="P8" s="27" t="s">
        <v>982</v>
      </c>
    </row>
    <row r="9" spans="1:16" ht="50.5" thickBot="1" x14ac:dyDescent="0.4">
      <c r="A9" s="3" t="s">
        <v>983</v>
      </c>
      <c r="B9" s="1" t="s">
        <v>932</v>
      </c>
      <c r="C9" s="1" t="s">
        <v>974</v>
      </c>
      <c r="D9" s="1" t="s">
        <v>984</v>
      </c>
      <c r="E9" s="1" t="s">
        <v>172</v>
      </c>
      <c r="F9" s="1" t="s">
        <v>15</v>
      </c>
      <c r="G9" s="1" t="s">
        <v>985</v>
      </c>
      <c r="H9" s="1" t="s">
        <v>848</v>
      </c>
      <c r="I9" s="2" t="s">
        <v>366</v>
      </c>
      <c r="J9" s="2" t="s">
        <v>1484</v>
      </c>
      <c r="K9" s="1" t="s">
        <v>986</v>
      </c>
      <c r="L9" s="1" t="s">
        <v>987</v>
      </c>
      <c r="M9" s="1" t="s">
        <v>988</v>
      </c>
      <c r="N9" s="1" t="s">
        <v>546</v>
      </c>
      <c r="O9" s="1" t="s">
        <v>454</v>
      </c>
      <c r="P9" s="27" t="s">
        <v>982</v>
      </c>
    </row>
    <row r="10" spans="1:16" ht="39" thickBot="1" x14ac:dyDescent="0.4">
      <c r="A10" s="3" t="s">
        <v>989</v>
      </c>
      <c r="B10" s="1" t="s">
        <v>932</v>
      </c>
      <c r="C10" s="1" t="s">
        <v>25</v>
      </c>
      <c r="D10" s="1" t="s">
        <v>990</v>
      </c>
      <c r="E10" s="1" t="s">
        <v>172</v>
      </c>
      <c r="F10" s="1" t="s">
        <v>15</v>
      </c>
      <c r="G10" s="1" t="s">
        <v>991</v>
      </c>
      <c r="H10" s="1" t="s">
        <v>992</v>
      </c>
      <c r="I10" s="2" t="s">
        <v>993</v>
      </c>
      <c r="J10" s="2" t="s">
        <v>1485</v>
      </c>
      <c r="K10" s="1" t="s">
        <v>994</v>
      </c>
      <c r="L10" s="1" t="s">
        <v>949</v>
      </c>
      <c r="M10" s="1" t="s">
        <v>995</v>
      </c>
      <c r="N10" s="1" t="s">
        <v>996</v>
      </c>
      <c r="O10" s="1" t="s">
        <v>454</v>
      </c>
      <c r="P10" s="26" t="s">
        <v>485</v>
      </c>
    </row>
    <row r="11" spans="1:16" ht="39" thickBot="1" x14ac:dyDescent="0.4">
      <c r="A11" s="3" t="s">
        <v>997</v>
      </c>
      <c r="B11" s="1" t="s">
        <v>932</v>
      </c>
      <c r="C11" s="1" t="s">
        <v>25</v>
      </c>
      <c r="D11" s="1" t="s">
        <v>998</v>
      </c>
      <c r="E11" s="1" t="s">
        <v>172</v>
      </c>
      <c r="F11" s="1" t="s">
        <v>15</v>
      </c>
      <c r="G11" s="1" t="s">
        <v>999</v>
      </c>
      <c r="H11" s="1" t="s">
        <v>928</v>
      </c>
      <c r="I11" s="1" t="s">
        <v>928</v>
      </c>
      <c r="J11" s="2" t="s">
        <v>1486</v>
      </c>
      <c r="K11" s="1" t="s">
        <v>1000</v>
      </c>
      <c r="L11" s="1" t="s">
        <v>1001</v>
      </c>
      <c r="M11" s="1" t="s">
        <v>1002</v>
      </c>
      <c r="N11" s="1" t="s">
        <v>546</v>
      </c>
      <c r="O11" s="1" t="s">
        <v>454</v>
      </c>
      <c r="P11" s="26" t="s">
        <v>94</v>
      </c>
    </row>
    <row r="12" spans="1:16" ht="29.5" thickBot="1" x14ac:dyDescent="0.4">
      <c r="A12" s="3" t="s">
        <v>1003</v>
      </c>
      <c r="B12" s="1" t="s">
        <v>932</v>
      </c>
      <c r="C12" s="1" t="s">
        <v>31</v>
      </c>
      <c r="D12" s="1" t="s">
        <v>1004</v>
      </c>
      <c r="E12" s="1" t="s">
        <v>1005</v>
      </c>
      <c r="F12" s="1" t="s">
        <v>15</v>
      </c>
      <c r="G12" s="1" t="s">
        <v>1006</v>
      </c>
      <c r="H12" s="1" t="s">
        <v>1007</v>
      </c>
      <c r="I12" s="2" t="s">
        <v>1008</v>
      </c>
      <c r="J12" s="2" t="s">
        <v>1487</v>
      </c>
      <c r="K12" s="1" t="s">
        <v>1009</v>
      </c>
      <c r="L12" s="1" t="s">
        <v>1010</v>
      </c>
      <c r="M12" s="1" t="s">
        <v>671</v>
      </c>
      <c r="N12" s="1" t="s">
        <v>540</v>
      </c>
      <c r="O12" s="1" t="s">
        <v>454</v>
      </c>
      <c r="P12" s="27" t="s">
        <v>945</v>
      </c>
    </row>
    <row r="13" spans="1:16" ht="39" thickBot="1" x14ac:dyDescent="0.4">
      <c r="A13" s="3" t="s">
        <v>1011</v>
      </c>
      <c r="B13" s="1" t="s">
        <v>932</v>
      </c>
      <c r="C13" s="1" t="s">
        <v>31</v>
      </c>
      <c r="D13" s="1" t="s">
        <v>1012</v>
      </c>
      <c r="E13" s="1" t="s">
        <v>1005</v>
      </c>
      <c r="F13" s="1" t="s">
        <v>15</v>
      </c>
      <c r="G13" s="1" t="s">
        <v>1013</v>
      </c>
      <c r="H13" s="1" t="s">
        <v>1014</v>
      </c>
      <c r="I13" s="2" t="s">
        <v>1015</v>
      </c>
      <c r="J13" s="2" t="s">
        <v>1488</v>
      </c>
      <c r="K13" s="1" t="s">
        <v>1016</v>
      </c>
      <c r="L13" s="1" t="s">
        <v>1017</v>
      </c>
      <c r="M13" s="1" t="s">
        <v>972</v>
      </c>
      <c r="N13" s="1" t="s">
        <v>546</v>
      </c>
      <c r="O13" s="1" t="s">
        <v>454</v>
      </c>
      <c r="P13" s="26" t="s">
        <v>485</v>
      </c>
    </row>
    <row r="14" spans="1:16" ht="29.5" thickBot="1" x14ac:dyDescent="0.4">
      <c r="A14" s="3" t="s">
        <v>158</v>
      </c>
      <c r="B14" s="1" t="s">
        <v>932</v>
      </c>
      <c r="C14" s="1" t="s">
        <v>31</v>
      </c>
      <c r="D14" s="1" t="s">
        <v>1018</v>
      </c>
      <c r="E14" s="1" t="s">
        <v>151</v>
      </c>
      <c r="F14" s="1" t="s">
        <v>15</v>
      </c>
      <c r="G14" s="1" t="s">
        <v>160</v>
      </c>
      <c r="H14" s="1" t="s">
        <v>474</v>
      </c>
      <c r="I14" s="2" t="s">
        <v>161</v>
      </c>
      <c r="J14" s="2" t="s">
        <v>1461</v>
      </c>
      <c r="K14" s="1" t="s">
        <v>1019</v>
      </c>
      <c r="L14" s="1" t="s">
        <v>1020</v>
      </c>
      <c r="M14" s="1" t="s">
        <v>972</v>
      </c>
      <c r="N14" s="1" t="s">
        <v>1021</v>
      </c>
      <c r="O14" s="1" t="s">
        <v>454</v>
      </c>
      <c r="P14" s="26" t="s">
        <v>485</v>
      </c>
    </row>
    <row r="15" spans="1:16" ht="50.5" thickBot="1" x14ac:dyDescent="0.4">
      <c r="A15" s="3" t="s">
        <v>1022</v>
      </c>
      <c r="B15" s="1" t="s">
        <v>932</v>
      </c>
      <c r="C15" s="1" t="s">
        <v>974</v>
      </c>
      <c r="D15" s="1" t="s">
        <v>1023</v>
      </c>
      <c r="E15" s="1" t="s">
        <v>1024</v>
      </c>
      <c r="F15" s="1" t="s">
        <v>15</v>
      </c>
      <c r="G15" s="1" t="s">
        <v>1025</v>
      </c>
      <c r="H15" s="1" t="s">
        <v>848</v>
      </c>
      <c r="I15" s="2" t="s">
        <v>366</v>
      </c>
      <c r="J15" s="2" t="s">
        <v>1489</v>
      </c>
      <c r="K15" s="1" t="s">
        <v>1026</v>
      </c>
      <c r="L15" s="1" t="s">
        <v>1027</v>
      </c>
      <c r="M15" s="1" t="s">
        <v>1028</v>
      </c>
      <c r="N15" s="1" t="s">
        <v>540</v>
      </c>
      <c r="O15" s="1" t="s">
        <v>454</v>
      </c>
      <c r="P15" s="27" t="s">
        <v>982</v>
      </c>
    </row>
    <row r="16" spans="1:16" ht="39" thickBot="1" x14ac:dyDescent="0.4">
      <c r="A16" s="3" t="s">
        <v>1029</v>
      </c>
      <c r="B16" s="1" t="s">
        <v>932</v>
      </c>
      <c r="C16" s="1" t="s">
        <v>31</v>
      </c>
      <c r="D16" s="1" t="s">
        <v>1030</v>
      </c>
      <c r="E16" s="1" t="s">
        <v>824</v>
      </c>
      <c r="F16" s="1" t="s">
        <v>15</v>
      </c>
      <c r="G16" s="1" t="s">
        <v>825</v>
      </c>
      <c r="H16" s="1" t="s">
        <v>826</v>
      </c>
      <c r="I16" s="2" t="s">
        <v>827</v>
      </c>
      <c r="J16" s="2" t="s">
        <v>1490</v>
      </c>
      <c r="K16" s="1" t="s">
        <v>1009</v>
      </c>
      <c r="L16" s="1" t="s">
        <v>1031</v>
      </c>
      <c r="M16" s="1" t="s">
        <v>972</v>
      </c>
      <c r="N16" s="1" t="s">
        <v>958</v>
      </c>
      <c r="O16" s="1" t="s">
        <v>454</v>
      </c>
      <c r="P16" s="27" t="s">
        <v>945</v>
      </c>
    </row>
    <row r="17" spans="1:16" ht="50.5" thickBot="1" x14ac:dyDescent="0.4">
      <c r="A17" s="3" t="s">
        <v>1032</v>
      </c>
      <c r="B17" s="1" t="s">
        <v>932</v>
      </c>
      <c r="C17" s="1" t="s">
        <v>974</v>
      </c>
      <c r="D17" s="1" t="s">
        <v>1033</v>
      </c>
      <c r="E17" s="1" t="s">
        <v>389</v>
      </c>
      <c r="F17" s="1" t="s">
        <v>15</v>
      </c>
      <c r="G17" s="1" t="s">
        <v>837</v>
      </c>
      <c r="H17" s="1" t="s">
        <v>848</v>
      </c>
      <c r="I17" s="2" t="s">
        <v>366</v>
      </c>
      <c r="J17" s="2" t="s">
        <v>1491</v>
      </c>
      <c r="K17" s="1" t="s">
        <v>1034</v>
      </c>
      <c r="L17" s="1" t="s">
        <v>1035</v>
      </c>
      <c r="M17" s="1" t="s">
        <v>671</v>
      </c>
      <c r="N17" s="1" t="s">
        <v>546</v>
      </c>
      <c r="O17" s="1" t="s">
        <v>454</v>
      </c>
      <c r="P17" s="27" t="s">
        <v>982</v>
      </c>
    </row>
    <row r="18" spans="1:16" ht="50.5" thickBot="1" x14ac:dyDescent="0.4">
      <c r="A18" s="3" t="s">
        <v>1036</v>
      </c>
      <c r="B18" s="1" t="s">
        <v>932</v>
      </c>
      <c r="C18" s="1" t="s">
        <v>974</v>
      </c>
      <c r="D18" s="1" t="s">
        <v>1037</v>
      </c>
      <c r="E18" s="1" t="s">
        <v>1038</v>
      </c>
      <c r="F18" s="1" t="s">
        <v>15</v>
      </c>
      <c r="G18" s="1" t="s">
        <v>1039</v>
      </c>
      <c r="H18" s="1" t="s">
        <v>848</v>
      </c>
      <c r="I18" s="2" t="s">
        <v>366</v>
      </c>
      <c r="J18" s="2" t="s">
        <v>1492</v>
      </c>
      <c r="K18" s="1" t="s">
        <v>1040</v>
      </c>
      <c r="L18" s="1" t="s">
        <v>1041</v>
      </c>
      <c r="M18" s="1" t="s">
        <v>671</v>
      </c>
      <c r="N18" s="1" t="s">
        <v>546</v>
      </c>
      <c r="O18" s="1" t="s">
        <v>454</v>
      </c>
      <c r="P18" s="27" t="s">
        <v>982</v>
      </c>
    </row>
    <row r="19" spans="1:16" ht="50.5" thickBot="1" x14ac:dyDescent="0.4">
      <c r="A19" s="3" t="s">
        <v>1042</v>
      </c>
      <c r="B19" s="1" t="s">
        <v>932</v>
      </c>
      <c r="C19" s="1" t="s">
        <v>974</v>
      </c>
      <c r="D19" s="1" t="s">
        <v>1043</v>
      </c>
      <c r="E19" s="1" t="s">
        <v>1044</v>
      </c>
      <c r="F19" s="1" t="s">
        <v>15</v>
      </c>
      <c r="G19" s="1" t="s">
        <v>1045</v>
      </c>
      <c r="H19" s="1" t="s">
        <v>848</v>
      </c>
      <c r="I19" s="2" t="s">
        <v>366</v>
      </c>
      <c r="J19" s="2" t="s">
        <v>1493</v>
      </c>
      <c r="K19" s="1" t="s">
        <v>1046</v>
      </c>
      <c r="L19" s="1" t="s">
        <v>1047</v>
      </c>
      <c r="M19" s="1" t="s">
        <v>1048</v>
      </c>
      <c r="N19" s="1" t="s">
        <v>540</v>
      </c>
      <c r="O19" s="1" t="s">
        <v>454</v>
      </c>
      <c r="P19" s="27" t="s">
        <v>982</v>
      </c>
    </row>
    <row r="20" spans="1:16" ht="51.5" thickBot="1" x14ac:dyDescent="0.4">
      <c r="A20" s="3" t="s">
        <v>1049</v>
      </c>
      <c r="B20" s="1" t="s">
        <v>932</v>
      </c>
      <c r="C20" s="1" t="s">
        <v>31</v>
      </c>
      <c r="D20" s="1" t="s">
        <v>1050</v>
      </c>
      <c r="E20" s="1" t="s">
        <v>1051</v>
      </c>
      <c r="F20" s="1" t="s">
        <v>15</v>
      </c>
      <c r="G20" s="1" t="s">
        <v>1052</v>
      </c>
      <c r="H20" s="1" t="s">
        <v>928</v>
      </c>
      <c r="I20" s="1" t="s">
        <v>928</v>
      </c>
      <c r="J20" s="2" t="s">
        <v>1494</v>
      </c>
      <c r="K20" s="1" t="s">
        <v>962</v>
      </c>
      <c r="L20" s="1" t="s">
        <v>1053</v>
      </c>
      <c r="M20" s="1" t="s">
        <v>1054</v>
      </c>
      <c r="N20" s="1" t="s">
        <v>958</v>
      </c>
      <c r="O20" s="1" t="s">
        <v>454</v>
      </c>
      <c r="P20" s="27" t="s">
        <v>1055</v>
      </c>
    </row>
    <row r="21" spans="1:16" ht="50.5" thickBot="1" x14ac:dyDescent="0.4">
      <c r="A21" s="3" t="s">
        <v>1056</v>
      </c>
      <c r="B21" s="1" t="s">
        <v>932</v>
      </c>
      <c r="C21" s="1" t="s">
        <v>25</v>
      </c>
      <c r="D21" s="1" t="s">
        <v>1057</v>
      </c>
      <c r="E21" s="1" t="s">
        <v>229</v>
      </c>
      <c r="F21" s="1" t="s">
        <v>15</v>
      </c>
      <c r="G21" s="1" t="s">
        <v>1058</v>
      </c>
      <c r="H21" s="1" t="s">
        <v>848</v>
      </c>
      <c r="I21" s="2" t="s">
        <v>366</v>
      </c>
      <c r="J21" s="2" t="s">
        <v>1474</v>
      </c>
      <c r="K21" s="1" t="s">
        <v>1059</v>
      </c>
      <c r="L21" s="1" t="s">
        <v>1060</v>
      </c>
      <c r="M21" s="1" t="s">
        <v>671</v>
      </c>
      <c r="N21" s="1" t="s">
        <v>1021</v>
      </c>
      <c r="O21" s="1" t="s">
        <v>454</v>
      </c>
      <c r="P21" s="27" t="s">
        <v>982</v>
      </c>
    </row>
    <row r="22" spans="1:16" ht="50.5" thickBot="1" x14ac:dyDescent="0.4">
      <c r="A22" s="3" t="s">
        <v>1061</v>
      </c>
      <c r="B22" s="1" t="s">
        <v>932</v>
      </c>
      <c r="C22" s="1" t="s">
        <v>974</v>
      </c>
      <c r="D22" s="1" t="s">
        <v>1062</v>
      </c>
      <c r="E22" s="1" t="s">
        <v>14</v>
      </c>
      <c r="F22" s="1" t="s">
        <v>15</v>
      </c>
      <c r="G22" s="1" t="s">
        <v>1063</v>
      </c>
      <c r="H22" s="1" t="s">
        <v>848</v>
      </c>
      <c r="I22" s="2" t="s">
        <v>366</v>
      </c>
      <c r="J22" s="2" t="s">
        <v>1495</v>
      </c>
      <c r="K22" s="1" t="s">
        <v>1064</v>
      </c>
      <c r="L22" s="1" t="s">
        <v>1065</v>
      </c>
      <c r="M22" s="1" t="s">
        <v>964</v>
      </c>
      <c r="N22" s="1" t="s">
        <v>958</v>
      </c>
      <c r="O22" s="1" t="s">
        <v>454</v>
      </c>
      <c r="P22" s="27" t="s">
        <v>982</v>
      </c>
    </row>
    <row r="23" spans="1:16" ht="29.5" thickBot="1" x14ac:dyDescent="0.4">
      <c r="A23" s="3" t="s">
        <v>1066</v>
      </c>
      <c r="B23" s="1" t="s">
        <v>932</v>
      </c>
      <c r="C23" s="1" t="s">
        <v>31</v>
      </c>
      <c r="D23" s="1" t="s">
        <v>1067</v>
      </c>
      <c r="E23" s="1" t="s">
        <v>14</v>
      </c>
      <c r="F23" s="1" t="s">
        <v>15</v>
      </c>
      <c r="G23" s="1" t="s">
        <v>450</v>
      </c>
      <c r="H23" s="1" t="s">
        <v>1068</v>
      </c>
      <c r="I23" s="2" t="s">
        <v>452</v>
      </c>
      <c r="J23" s="2" t="s">
        <v>1496</v>
      </c>
      <c r="K23" s="1" t="s">
        <v>1069</v>
      </c>
      <c r="L23" s="1" t="s">
        <v>1070</v>
      </c>
      <c r="M23" s="1" t="s">
        <v>1071</v>
      </c>
      <c r="N23" s="1" t="s">
        <v>540</v>
      </c>
      <c r="O23" s="1" t="s">
        <v>454</v>
      </c>
      <c r="P23" s="26" t="s">
        <v>485</v>
      </c>
    </row>
    <row r="24" spans="1:16" ht="39" thickBot="1" x14ac:dyDescent="0.4">
      <c r="A24" s="3" t="s">
        <v>1072</v>
      </c>
      <c r="B24" s="1" t="s">
        <v>932</v>
      </c>
      <c r="C24" s="1" t="s">
        <v>31</v>
      </c>
      <c r="D24" s="1" t="s">
        <v>1073</v>
      </c>
      <c r="E24" s="1" t="s">
        <v>1074</v>
      </c>
      <c r="F24" s="1" t="s">
        <v>15</v>
      </c>
      <c r="G24" s="1" t="s">
        <v>1075</v>
      </c>
      <c r="H24" s="1" t="s">
        <v>1076</v>
      </c>
      <c r="I24" s="2" t="s">
        <v>1077</v>
      </c>
      <c r="J24" s="2" t="s">
        <v>1497</v>
      </c>
      <c r="K24" s="1" t="s">
        <v>1078</v>
      </c>
      <c r="L24" s="1" t="s">
        <v>1079</v>
      </c>
      <c r="M24" s="1" t="s">
        <v>671</v>
      </c>
      <c r="N24" s="1" t="s">
        <v>1080</v>
      </c>
      <c r="O24" s="1" t="s">
        <v>454</v>
      </c>
      <c r="P24" s="26" t="s">
        <v>485</v>
      </c>
    </row>
    <row r="25" spans="1:16" ht="26.5" thickBot="1" x14ac:dyDescent="0.4">
      <c r="A25" s="3" t="s">
        <v>1081</v>
      </c>
      <c r="B25" s="1" t="s">
        <v>932</v>
      </c>
      <c r="C25" s="1" t="s">
        <v>12</v>
      </c>
      <c r="D25" s="1" t="s">
        <v>1082</v>
      </c>
      <c r="E25" s="1" t="s">
        <v>219</v>
      </c>
      <c r="F25" s="1" t="s">
        <v>15</v>
      </c>
      <c r="G25" s="1" t="s">
        <v>1083</v>
      </c>
      <c r="H25" s="1" t="s">
        <v>928</v>
      </c>
      <c r="I25" s="1" t="s">
        <v>928</v>
      </c>
      <c r="J25" s="1" t="s">
        <v>928</v>
      </c>
      <c r="K25" s="1" t="s">
        <v>934</v>
      </c>
      <c r="L25" s="1" t="s">
        <v>1084</v>
      </c>
      <c r="M25" s="1" t="s">
        <v>671</v>
      </c>
      <c r="N25" s="1" t="s">
        <v>546</v>
      </c>
      <c r="O25" s="1" t="s">
        <v>455</v>
      </c>
      <c r="P25" s="27" t="s">
        <v>950</v>
      </c>
    </row>
    <row r="26" spans="1:16" ht="39" thickBot="1" x14ac:dyDescent="0.4">
      <c r="A26" s="3" t="s">
        <v>1085</v>
      </c>
      <c r="B26" s="1" t="s">
        <v>932</v>
      </c>
      <c r="C26" s="1" t="s">
        <v>25</v>
      </c>
      <c r="D26" s="1" t="s">
        <v>1086</v>
      </c>
      <c r="E26" s="1" t="s">
        <v>219</v>
      </c>
      <c r="F26" s="1" t="s">
        <v>15</v>
      </c>
      <c r="G26" s="1" t="s">
        <v>1087</v>
      </c>
      <c r="H26" s="1" t="s">
        <v>798</v>
      </c>
      <c r="I26" s="2" t="s">
        <v>799</v>
      </c>
      <c r="J26" s="2" t="s">
        <v>1498</v>
      </c>
      <c r="K26" s="1" t="s">
        <v>934</v>
      </c>
      <c r="L26" s="1" t="s">
        <v>1088</v>
      </c>
      <c r="M26" s="1" t="s">
        <v>1089</v>
      </c>
      <c r="N26" s="1" t="s">
        <v>1021</v>
      </c>
      <c r="O26" s="1" t="s">
        <v>454</v>
      </c>
      <c r="P26" s="27" t="s">
        <v>1090</v>
      </c>
    </row>
    <row r="27" spans="1:16" ht="50.5" thickBot="1" x14ac:dyDescent="0.4">
      <c r="A27" s="3" t="s">
        <v>1091</v>
      </c>
      <c r="B27" s="1" t="s">
        <v>932</v>
      </c>
      <c r="C27" s="1" t="s">
        <v>974</v>
      </c>
      <c r="D27" s="1" t="s">
        <v>1092</v>
      </c>
      <c r="E27" s="1" t="s">
        <v>1093</v>
      </c>
      <c r="F27" s="1" t="s">
        <v>15</v>
      </c>
      <c r="G27" s="1" t="s">
        <v>1094</v>
      </c>
      <c r="H27" s="1" t="s">
        <v>848</v>
      </c>
      <c r="I27" s="2" t="s">
        <v>366</v>
      </c>
      <c r="J27" s="2" t="s">
        <v>1499</v>
      </c>
      <c r="K27" s="1" t="s">
        <v>1059</v>
      </c>
      <c r="L27" s="1" t="s">
        <v>1095</v>
      </c>
      <c r="M27" s="1" t="s">
        <v>840</v>
      </c>
      <c r="N27" s="1" t="s">
        <v>540</v>
      </c>
      <c r="O27" s="1" t="s">
        <v>454</v>
      </c>
      <c r="P27" s="27" t="s">
        <v>982</v>
      </c>
    </row>
    <row r="28" spans="1:16" ht="51.5" thickBot="1" x14ac:dyDescent="0.4">
      <c r="A28" s="3" t="s">
        <v>1096</v>
      </c>
      <c r="B28" s="1" t="s">
        <v>932</v>
      </c>
      <c r="C28" s="1" t="s">
        <v>12</v>
      </c>
      <c r="D28" s="1" t="s">
        <v>1097</v>
      </c>
      <c r="E28" s="1" t="s">
        <v>1098</v>
      </c>
      <c r="F28" s="1" t="s">
        <v>15</v>
      </c>
      <c r="G28" s="1" t="s">
        <v>1099</v>
      </c>
      <c r="H28" s="1" t="s">
        <v>928</v>
      </c>
      <c r="I28" s="1" t="s">
        <v>928</v>
      </c>
      <c r="J28" s="1" t="s">
        <v>928</v>
      </c>
      <c r="K28" s="1" t="s">
        <v>934</v>
      </c>
      <c r="L28" s="1" t="s">
        <v>1100</v>
      </c>
      <c r="M28" s="1" t="s">
        <v>671</v>
      </c>
      <c r="N28" s="1" t="s">
        <v>1101</v>
      </c>
      <c r="O28" s="1" t="s">
        <v>455</v>
      </c>
      <c r="P28" s="27" t="s">
        <v>950</v>
      </c>
    </row>
    <row r="29" spans="1:16" ht="50.5" thickBot="1" x14ac:dyDescent="0.4">
      <c r="A29" s="3" t="s">
        <v>1102</v>
      </c>
      <c r="B29" s="1" t="s">
        <v>932</v>
      </c>
      <c r="C29" s="1" t="s">
        <v>974</v>
      </c>
      <c r="D29" s="1" t="s">
        <v>1103</v>
      </c>
      <c r="E29" s="1" t="s">
        <v>54</v>
      </c>
      <c r="F29" s="1" t="s">
        <v>15</v>
      </c>
      <c r="G29" s="1" t="s">
        <v>1104</v>
      </c>
      <c r="H29" s="1" t="s">
        <v>848</v>
      </c>
      <c r="I29" s="2" t="s">
        <v>366</v>
      </c>
      <c r="J29" s="2" t="s">
        <v>1500</v>
      </c>
      <c r="K29" s="1" t="s">
        <v>1105</v>
      </c>
      <c r="L29" s="1" t="s">
        <v>1106</v>
      </c>
      <c r="M29" s="1" t="s">
        <v>972</v>
      </c>
      <c r="N29" s="1" t="s">
        <v>546</v>
      </c>
      <c r="O29" s="1" t="s">
        <v>454</v>
      </c>
      <c r="P29" s="27" t="s">
        <v>982</v>
      </c>
    </row>
    <row r="30" spans="1:16" ht="51.5" thickBot="1" x14ac:dyDescent="0.4">
      <c r="A30" s="3" t="s">
        <v>1107</v>
      </c>
      <c r="B30" s="1" t="s">
        <v>932</v>
      </c>
      <c r="C30" s="1" t="s">
        <v>974</v>
      </c>
      <c r="D30" s="1" t="s">
        <v>1108</v>
      </c>
      <c r="E30" s="1" t="s">
        <v>1109</v>
      </c>
      <c r="F30" s="1" t="s">
        <v>15</v>
      </c>
      <c r="G30" s="1" t="s">
        <v>1110</v>
      </c>
      <c r="H30" s="1" t="s">
        <v>848</v>
      </c>
      <c r="I30" s="2" t="s">
        <v>366</v>
      </c>
      <c r="J30" s="2" t="s">
        <v>1501</v>
      </c>
      <c r="K30" s="1" t="s">
        <v>1111</v>
      </c>
      <c r="L30" s="1" t="s">
        <v>1112</v>
      </c>
      <c r="M30" s="1" t="s">
        <v>988</v>
      </c>
      <c r="N30" s="1" t="s">
        <v>540</v>
      </c>
      <c r="O30" s="1" t="s">
        <v>454</v>
      </c>
      <c r="P30" s="27" t="s">
        <v>982</v>
      </c>
    </row>
    <row r="31" spans="1:16" ht="50.5" thickBot="1" x14ac:dyDescent="0.4">
      <c r="A31" s="3" t="s">
        <v>1113</v>
      </c>
      <c r="B31" s="1" t="s">
        <v>932</v>
      </c>
      <c r="C31" s="1" t="s">
        <v>974</v>
      </c>
      <c r="D31" s="1" t="s">
        <v>1114</v>
      </c>
      <c r="E31" s="1" t="s">
        <v>1115</v>
      </c>
      <c r="F31" s="1" t="s">
        <v>15</v>
      </c>
      <c r="G31" s="1" t="s">
        <v>1116</v>
      </c>
      <c r="H31" s="1" t="s">
        <v>848</v>
      </c>
      <c r="I31" s="2" t="s">
        <v>366</v>
      </c>
      <c r="J31" s="2" t="s">
        <v>1502</v>
      </c>
      <c r="K31" s="1" t="s">
        <v>1117</v>
      </c>
      <c r="L31" s="1" t="s">
        <v>1118</v>
      </c>
      <c r="M31" s="1" t="s">
        <v>671</v>
      </c>
      <c r="N31" s="1" t="s">
        <v>1021</v>
      </c>
      <c r="O31" s="1" t="s">
        <v>454</v>
      </c>
      <c r="P31" s="27" t="s">
        <v>982</v>
      </c>
    </row>
    <row r="32" spans="1:16" ht="50.5" thickBot="1" x14ac:dyDescent="0.4">
      <c r="A32" s="3" t="s">
        <v>1119</v>
      </c>
      <c r="B32" s="1" t="s">
        <v>932</v>
      </c>
      <c r="C32" s="1" t="s">
        <v>974</v>
      </c>
      <c r="D32" s="1" t="s">
        <v>1120</v>
      </c>
      <c r="E32" s="1" t="s">
        <v>1121</v>
      </c>
      <c r="F32" s="1" t="s">
        <v>15</v>
      </c>
      <c r="G32" s="1" t="s">
        <v>1122</v>
      </c>
      <c r="H32" s="1" t="s">
        <v>848</v>
      </c>
      <c r="I32" s="2" t="s">
        <v>366</v>
      </c>
      <c r="J32" s="2" t="s">
        <v>1503</v>
      </c>
      <c r="K32" s="1" t="s">
        <v>1123</v>
      </c>
      <c r="L32" s="1" t="s">
        <v>1124</v>
      </c>
      <c r="M32" s="1" t="s">
        <v>1125</v>
      </c>
      <c r="N32" s="1" t="s">
        <v>540</v>
      </c>
      <c r="O32" s="1" t="s">
        <v>454</v>
      </c>
      <c r="P32" s="27" t="s">
        <v>982</v>
      </c>
    </row>
    <row r="33" spans="1:16" ht="39" thickBot="1" x14ac:dyDescent="0.4">
      <c r="A33" s="3" t="s">
        <v>1126</v>
      </c>
      <c r="B33" s="1" t="s">
        <v>932</v>
      </c>
      <c r="C33" s="1" t="s">
        <v>31</v>
      </c>
      <c r="D33" s="1" t="s">
        <v>1127</v>
      </c>
      <c r="E33" s="1" t="s">
        <v>1121</v>
      </c>
      <c r="F33" s="1" t="s">
        <v>15</v>
      </c>
      <c r="G33" s="1" t="s">
        <v>1128</v>
      </c>
      <c r="H33" s="1" t="s">
        <v>1129</v>
      </c>
      <c r="I33" s="2" t="s">
        <v>1130</v>
      </c>
      <c r="J33" s="2" t="s">
        <v>1504</v>
      </c>
      <c r="K33" s="1" t="s">
        <v>1131</v>
      </c>
      <c r="L33" s="1" t="s">
        <v>1132</v>
      </c>
      <c r="M33" s="1" t="s">
        <v>671</v>
      </c>
      <c r="N33" s="1" t="s">
        <v>1133</v>
      </c>
      <c r="O33" s="1" t="s">
        <v>454</v>
      </c>
      <c r="P33" s="26" t="s">
        <v>485</v>
      </c>
    </row>
    <row r="34" spans="1:16" ht="39" thickBot="1" x14ac:dyDescent="0.4">
      <c r="A34" s="3" t="s">
        <v>1134</v>
      </c>
      <c r="B34" s="1" t="s">
        <v>932</v>
      </c>
      <c r="C34" s="1" t="s">
        <v>31</v>
      </c>
      <c r="D34" s="1" t="s">
        <v>1135</v>
      </c>
      <c r="E34" s="1" t="s">
        <v>1136</v>
      </c>
      <c r="F34" s="1" t="s">
        <v>15</v>
      </c>
      <c r="G34" s="1" t="s">
        <v>1137</v>
      </c>
      <c r="H34" s="1" t="s">
        <v>1138</v>
      </c>
      <c r="I34" s="2" t="s">
        <v>787</v>
      </c>
      <c r="J34" s="2" t="s">
        <v>1449</v>
      </c>
      <c r="K34" s="1" t="s">
        <v>1139</v>
      </c>
      <c r="L34" s="1" t="s">
        <v>1140</v>
      </c>
      <c r="M34" s="1" t="s">
        <v>671</v>
      </c>
      <c r="N34" s="1" t="s">
        <v>540</v>
      </c>
      <c r="O34" s="1" t="s">
        <v>454</v>
      </c>
      <c r="P34" s="26" t="s">
        <v>485</v>
      </c>
    </row>
    <row r="35" spans="1:16" ht="39" thickBot="1" x14ac:dyDescent="0.4">
      <c r="A35" s="3" t="s">
        <v>1141</v>
      </c>
      <c r="B35" s="1" t="s">
        <v>932</v>
      </c>
      <c r="C35" s="1" t="s">
        <v>31</v>
      </c>
      <c r="D35" s="1" t="s">
        <v>1142</v>
      </c>
      <c r="E35" s="1" t="s">
        <v>1143</v>
      </c>
      <c r="F35" s="1" t="s">
        <v>15</v>
      </c>
      <c r="G35" s="1" t="s">
        <v>1144</v>
      </c>
      <c r="H35" s="1" t="s">
        <v>1145</v>
      </c>
      <c r="I35" s="2" t="s">
        <v>1146</v>
      </c>
      <c r="J35" s="2" t="s">
        <v>1505</v>
      </c>
      <c r="K35" s="1" t="s">
        <v>1147</v>
      </c>
      <c r="L35" s="1" t="s">
        <v>1148</v>
      </c>
      <c r="M35" s="1" t="s">
        <v>671</v>
      </c>
      <c r="N35" s="1" t="s">
        <v>540</v>
      </c>
      <c r="O35" s="1" t="s">
        <v>454</v>
      </c>
      <c r="P35" s="26" t="s">
        <v>485</v>
      </c>
    </row>
    <row r="36" spans="1:16" ht="51.5" thickBot="1" x14ac:dyDescent="0.4">
      <c r="A36" s="3" t="s">
        <v>1149</v>
      </c>
      <c r="B36" s="1" t="s">
        <v>932</v>
      </c>
      <c r="C36" s="1" t="s">
        <v>974</v>
      </c>
      <c r="D36" s="1" t="s">
        <v>1150</v>
      </c>
      <c r="E36" s="1" t="s">
        <v>211</v>
      </c>
      <c r="F36" s="1" t="s">
        <v>15</v>
      </c>
      <c r="G36" s="1" t="s">
        <v>1110</v>
      </c>
      <c r="H36" s="1" t="s">
        <v>848</v>
      </c>
      <c r="I36" s="2" t="s">
        <v>366</v>
      </c>
      <c r="J36" s="2" t="s">
        <v>1506</v>
      </c>
      <c r="K36" s="1" t="s">
        <v>1151</v>
      </c>
      <c r="L36" s="1" t="s">
        <v>1152</v>
      </c>
      <c r="M36" s="1" t="s">
        <v>1028</v>
      </c>
      <c r="N36" s="1" t="s">
        <v>540</v>
      </c>
      <c r="O36" s="1" t="s">
        <v>454</v>
      </c>
      <c r="P36" s="27" t="s">
        <v>982</v>
      </c>
    </row>
    <row r="37" spans="1:16" ht="50.5" thickBot="1" x14ac:dyDescent="0.4">
      <c r="A37" s="3" t="s">
        <v>1153</v>
      </c>
      <c r="B37" s="1" t="s">
        <v>932</v>
      </c>
      <c r="C37" s="1" t="s">
        <v>974</v>
      </c>
      <c r="D37" s="1" t="s">
        <v>1154</v>
      </c>
      <c r="E37" s="1" t="s">
        <v>1155</v>
      </c>
      <c r="F37" s="1" t="s">
        <v>15</v>
      </c>
      <c r="G37" s="1" t="s">
        <v>1156</v>
      </c>
      <c r="H37" s="1" t="s">
        <v>848</v>
      </c>
      <c r="I37" s="2" t="s">
        <v>366</v>
      </c>
      <c r="J37" s="2" t="s">
        <v>1507</v>
      </c>
      <c r="K37" s="1" t="s">
        <v>1157</v>
      </c>
      <c r="L37" s="1" t="s">
        <v>1158</v>
      </c>
      <c r="M37" s="1" t="s">
        <v>671</v>
      </c>
      <c r="N37" s="1" t="s">
        <v>546</v>
      </c>
      <c r="O37" s="1" t="s">
        <v>454</v>
      </c>
      <c r="P37" s="27" t="s">
        <v>982</v>
      </c>
    </row>
    <row r="38" spans="1:16" ht="50.5" thickBot="1" x14ac:dyDescent="0.4">
      <c r="A38" s="3" t="s">
        <v>1159</v>
      </c>
      <c r="B38" s="1" t="s">
        <v>932</v>
      </c>
      <c r="C38" s="1" t="s">
        <v>974</v>
      </c>
      <c r="D38" s="1" t="s">
        <v>1160</v>
      </c>
      <c r="E38" s="1" t="s">
        <v>1161</v>
      </c>
      <c r="F38" s="1" t="s">
        <v>15</v>
      </c>
      <c r="G38" s="1" t="s">
        <v>1162</v>
      </c>
      <c r="H38" s="1" t="s">
        <v>848</v>
      </c>
      <c r="I38" s="2" t="s">
        <v>366</v>
      </c>
      <c r="J38" s="2" t="s">
        <v>1508</v>
      </c>
      <c r="K38" s="1" t="s">
        <v>1163</v>
      </c>
      <c r="L38" s="1" t="s">
        <v>1164</v>
      </c>
      <c r="M38" s="1" t="s">
        <v>671</v>
      </c>
      <c r="N38" s="1" t="s">
        <v>546</v>
      </c>
      <c r="O38" s="1" t="s">
        <v>454</v>
      </c>
      <c r="P38" s="27" t="s">
        <v>982</v>
      </c>
    </row>
    <row r="39" spans="1:16" ht="39" thickBot="1" x14ac:dyDescent="0.4">
      <c r="A39" s="3" t="s">
        <v>1165</v>
      </c>
      <c r="B39" s="1" t="s">
        <v>932</v>
      </c>
      <c r="C39" s="1" t="s">
        <v>31</v>
      </c>
      <c r="D39" s="1" t="s">
        <v>1166</v>
      </c>
      <c r="E39" s="1" t="s">
        <v>142</v>
      </c>
      <c r="F39" s="1" t="s">
        <v>15</v>
      </c>
      <c r="G39" s="1" t="s">
        <v>1167</v>
      </c>
      <c r="H39" s="1" t="s">
        <v>1168</v>
      </c>
      <c r="I39" s="2" t="s">
        <v>1169</v>
      </c>
      <c r="J39" s="2" t="s">
        <v>1509</v>
      </c>
      <c r="K39" s="1" t="s">
        <v>1170</v>
      </c>
      <c r="L39" s="1" t="s">
        <v>1171</v>
      </c>
      <c r="M39" s="1" t="s">
        <v>671</v>
      </c>
      <c r="N39" s="1" t="s">
        <v>540</v>
      </c>
      <c r="O39" s="1" t="s">
        <v>454</v>
      </c>
      <c r="P39" s="26" t="s">
        <v>485</v>
      </c>
    </row>
    <row r="40" spans="1:16" ht="39" thickBot="1" x14ac:dyDescent="0.4">
      <c r="A40" s="3" t="s">
        <v>1172</v>
      </c>
      <c r="B40" s="1" t="s">
        <v>932</v>
      </c>
      <c r="C40" s="1" t="s">
        <v>31</v>
      </c>
      <c r="D40" s="1" t="s">
        <v>1173</v>
      </c>
      <c r="E40" s="1" t="s">
        <v>1174</v>
      </c>
      <c r="F40" s="1" t="s">
        <v>15</v>
      </c>
      <c r="G40" s="1" t="s">
        <v>1175</v>
      </c>
      <c r="H40" s="1" t="s">
        <v>1176</v>
      </c>
      <c r="I40" s="2" t="s">
        <v>1177</v>
      </c>
      <c r="J40" s="2" t="s">
        <v>1510</v>
      </c>
      <c r="K40" s="1" t="s">
        <v>1178</v>
      </c>
      <c r="L40" s="1" t="s">
        <v>1179</v>
      </c>
      <c r="M40" s="1" t="s">
        <v>671</v>
      </c>
      <c r="N40" s="1" t="s">
        <v>540</v>
      </c>
      <c r="O40" s="1" t="s">
        <v>454</v>
      </c>
      <c r="P40" s="26" t="s">
        <v>485</v>
      </c>
    </row>
    <row r="41" spans="1:16" ht="39" thickBot="1" x14ac:dyDescent="0.4">
      <c r="A41" s="3" t="s">
        <v>1180</v>
      </c>
      <c r="B41" s="1" t="s">
        <v>932</v>
      </c>
      <c r="C41" s="1" t="s">
        <v>25</v>
      </c>
      <c r="D41" s="1" t="s">
        <v>1181</v>
      </c>
      <c r="E41" s="1" t="s">
        <v>1174</v>
      </c>
      <c r="F41" s="1" t="s">
        <v>15</v>
      </c>
      <c r="G41" s="1" t="s">
        <v>1182</v>
      </c>
      <c r="H41" s="1" t="s">
        <v>928</v>
      </c>
      <c r="I41" s="1" t="s">
        <v>928</v>
      </c>
      <c r="J41" s="2" t="s">
        <v>1511</v>
      </c>
      <c r="K41" s="1" t="s">
        <v>1183</v>
      </c>
      <c r="L41" s="1" t="s">
        <v>1184</v>
      </c>
      <c r="M41" s="1" t="s">
        <v>671</v>
      </c>
      <c r="N41" s="1" t="s">
        <v>546</v>
      </c>
      <c r="O41" s="1" t="s">
        <v>454</v>
      </c>
      <c r="P41" s="27" t="s">
        <v>1055</v>
      </c>
    </row>
    <row r="42" spans="1:16" ht="39" thickBot="1" x14ac:dyDescent="0.4">
      <c r="A42" s="3" t="s">
        <v>1185</v>
      </c>
      <c r="B42" s="1" t="s">
        <v>932</v>
      </c>
      <c r="C42" s="1" t="s">
        <v>25</v>
      </c>
      <c r="D42" s="1" t="s">
        <v>1186</v>
      </c>
      <c r="E42" s="1" t="s">
        <v>1174</v>
      </c>
      <c r="F42" s="1" t="s">
        <v>15</v>
      </c>
      <c r="G42" s="1" t="s">
        <v>1187</v>
      </c>
      <c r="H42" s="1" t="s">
        <v>928</v>
      </c>
      <c r="I42" s="1" t="s">
        <v>928</v>
      </c>
      <c r="J42" s="2" t="s">
        <v>1512</v>
      </c>
      <c r="K42" s="1" t="s">
        <v>934</v>
      </c>
      <c r="L42" s="1" t="s">
        <v>1188</v>
      </c>
      <c r="M42" s="1" t="s">
        <v>972</v>
      </c>
      <c r="N42" s="1" t="s">
        <v>546</v>
      </c>
      <c r="O42" s="1" t="s">
        <v>455</v>
      </c>
      <c r="P42" s="27" t="s">
        <v>1055</v>
      </c>
    </row>
    <row r="43" spans="1:16" ht="50.5" thickBot="1" x14ac:dyDescent="0.4">
      <c r="A43" s="3" t="s">
        <v>1189</v>
      </c>
      <c r="B43" s="1" t="s">
        <v>932</v>
      </c>
      <c r="C43" s="1" t="s">
        <v>974</v>
      </c>
      <c r="D43" s="1" t="s">
        <v>1190</v>
      </c>
      <c r="E43" s="1" t="s">
        <v>1174</v>
      </c>
      <c r="F43" s="1" t="s">
        <v>15</v>
      </c>
      <c r="G43" s="1" t="s">
        <v>1191</v>
      </c>
      <c r="H43" s="1" t="s">
        <v>848</v>
      </c>
      <c r="I43" s="2" t="s">
        <v>366</v>
      </c>
      <c r="J43" s="2" t="s">
        <v>1513</v>
      </c>
      <c r="K43" s="1" t="s">
        <v>1192</v>
      </c>
      <c r="L43" s="1" t="s">
        <v>1079</v>
      </c>
      <c r="M43" s="1" t="s">
        <v>972</v>
      </c>
      <c r="N43" s="1" t="s">
        <v>540</v>
      </c>
      <c r="O43" s="1" t="s">
        <v>454</v>
      </c>
      <c r="P43" s="27" t="s">
        <v>982</v>
      </c>
    </row>
    <row r="44" spans="1:16" ht="29.5" thickBot="1" x14ac:dyDescent="0.4">
      <c r="A44" s="3" t="s">
        <v>1193</v>
      </c>
      <c r="B44" s="1" t="s">
        <v>932</v>
      </c>
      <c r="C44" s="1" t="s">
        <v>31</v>
      </c>
      <c r="D44" s="1" t="s">
        <v>1194</v>
      </c>
      <c r="E44" s="1" t="s">
        <v>122</v>
      </c>
      <c r="F44" s="1" t="s">
        <v>15</v>
      </c>
      <c r="G44" s="1" t="s">
        <v>1195</v>
      </c>
      <c r="H44" s="1" t="s">
        <v>1196</v>
      </c>
      <c r="I44" s="2" t="s">
        <v>1197</v>
      </c>
      <c r="J44" s="2" t="s">
        <v>1514</v>
      </c>
      <c r="K44" s="1" t="s">
        <v>1198</v>
      </c>
      <c r="L44" s="1" t="s">
        <v>1199</v>
      </c>
      <c r="M44" s="1" t="s">
        <v>1071</v>
      </c>
      <c r="N44" s="1" t="s">
        <v>540</v>
      </c>
      <c r="O44" s="1" t="s">
        <v>454</v>
      </c>
      <c r="P44" s="26" t="s">
        <v>485</v>
      </c>
    </row>
    <row r="45" spans="1:16" ht="26.5" thickBot="1" x14ac:dyDescent="0.4">
      <c r="A45" s="3" t="s">
        <v>1200</v>
      </c>
      <c r="B45" s="1" t="s">
        <v>932</v>
      </c>
      <c r="C45" s="1" t="s">
        <v>25</v>
      </c>
      <c r="D45" s="1" t="s">
        <v>1201</v>
      </c>
      <c r="E45" s="1" t="s">
        <v>104</v>
      </c>
      <c r="F45" s="1" t="s">
        <v>15</v>
      </c>
      <c r="G45" s="1" t="s">
        <v>1202</v>
      </c>
      <c r="H45" s="1" t="s">
        <v>928</v>
      </c>
      <c r="I45" s="1" t="s">
        <v>928</v>
      </c>
      <c r="J45" s="1" t="s">
        <v>928</v>
      </c>
      <c r="K45" s="1" t="s">
        <v>934</v>
      </c>
      <c r="L45" s="1" t="s">
        <v>935</v>
      </c>
      <c r="M45" s="1" t="s">
        <v>671</v>
      </c>
      <c r="N45" s="1" t="s">
        <v>546</v>
      </c>
      <c r="O45" s="1" t="s">
        <v>454</v>
      </c>
      <c r="P45" s="27" t="s">
        <v>950</v>
      </c>
    </row>
    <row r="46" spans="1:16" ht="39" thickBot="1" x14ac:dyDescent="0.4">
      <c r="A46" s="3" t="s">
        <v>1203</v>
      </c>
      <c r="B46" s="1" t="s">
        <v>932</v>
      </c>
      <c r="C46" s="1" t="s">
        <v>12</v>
      </c>
      <c r="D46" s="1" t="s">
        <v>83</v>
      </c>
      <c r="E46" s="1" t="s">
        <v>78</v>
      </c>
      <c r="F46" s="1" t="s">
        <v>15</v>
      </c>
      <c r="G46" s="1" t="s">
        <v>1204</v>
      </c>
      <c r="H46" s="1" t="s">
        <v>928</v>
      </c>
      <c r="I46" s="1" t="s">
        <v>928</v>
      </c>
      <c r="J46" s="2" t="s">
        <v>1515</v>
      </c>
      <c r="K46" s="1" t="s">
        <v>1205</v>
      </c>
      <c r="L46" s="1" t="s">
        <v>1206</v>
      </c>
      <c r="M46" s="1" t="s">
        <v>964</v>
      </c>
      <c r="N46" s="1" t="s">
        <v>958</v>
      </c>
      <c r="O46" s="1" t="s">
        <v>454</v>
      </c>
      <c r="P46" s="27" t="s">
        <v>1055</v>
      </c>
    </row>
    <row r="47" spans="1:16" ht="50.5" thickBot="1" x14ac:dyDescent="0.4">
      <c r="A47" s="3" t="s">
        <v>1207</v>
      </c>
      <c r="B47" s="1" t="s">
        <v>932</v>
      </c>
      <c r="C47" s="1" t="s">
        <v>974</v>
      </c>
      <c r="D47" s="1" t="s">
        <v>1208</v>
      </c>
      <c r="E47" s="1" t="s">
        <v>78</v>
      </c>
      <c r="F47" s="1" t="s">
        <v>15</v>
      </c>
      <c r="G47" s="1" t="s">
        <v>1209</v>
      </c>
      <c r="H47" s="1" t="s">
        <v>848</v>
      </c>
      <c r="I47" s="2" t="s">
        <v>366</v>
      </c>
      <c r="J47" s="2" t="s">
        <v>1516</v>
      </c>
      <c r="K47" s="1" t="s">
        <v>1205</v>
      </c>
      <c r="L47" s="1" t="s">
        <v>1210</v>
      </c>
      <c r="M47" s="1" t="s">
        <v>671</v>
      </c>
      <c r="N47" s="1" t="s">
        <v>540</v>
      </c>
      <c r="O47" s="1" t="s">
        <v>454</v>
      </c>
      <c r="P47" s="27" t="s">
        <v>982</v>
      </c>
    </row>
    <row r="48" spans="1:16" ht="50.5" thickBot="1" x14ac:dyDescent="0.4">
      <c r="A48" s="3" t="s">
        <v>1211</v>
      </c>
      <c r="B48" s="1" t="s">
        <v>932</v>
      </c>
      <c r="C48" s="1" t="s">
        <v>974</v>
      </c>
      <c r="D48" s="1" t="s">
        <v>1212</v>
      </c>
      <c r="E48" s="1" t="s">
        <v>1213</v>
      </c>
      <c r="F48" s="1" t="s">
        <v>15</v>
      </c>
      <c r="G48" s="1" t="s">
        <v>1214</v>
      </c>
      <c r="H48" s="1" t="s">
        <v>848</v>
      </c>
      <c r="I48" s="2" t="s">
        <v>1215</v>
      </c>
      <c r="J48" s="2" t="s">
        <v>1517</v>
      </c>
      <c r="K48" s="1" t="s">
        <v>1216</v>
      </c>
      <c r="L48" s="1" t="s">
        <v>1217</v>
      </c>
      <c r="M48" s="1" t="s">
        <v>671</v>
      </c>
      <c r="N48" s="1" t="s">
        <v>540</v>
      </c>
      <c r="O48" s="1" t="s">
        <v>454</v>
      </c>
      <c r="P48" s="27" t="s">
        <v>982</v>
      </c>
    </row>
    <row r="49" spans="1:16" ht="64" thickBot="1" x14ac:dyDescent="0.4">
      <c r="A49" s="3" t="s">
        <v>1218</v>
      </c>
      <c r="B49" s="1" t="s">
        <v>932</v>
      </c>
      <c r="C49" s="1" t="s">
        <v>974</v>
      </c>
      <c r="D49" s="1" t="s">
        <v>1219</v>
      </c>
      <c r="E49" s="1" t="s">
        <v>770</v>
      </c>
      <c r="F49" s="1" t="s">
        <v>15</v>
      </c>
      <c r="G49" s="1" t="s">
        <v>837</v>
      </c>
      <c r="H49" s="1" t="s">
        <v>848</v>
      </c>
      <c r="I49" s="2" t="s">
        <v>366</v>
      </c>
      <c r="J49" s="2" t="s">
        <v>1518</v>
      </c>
      <c r="K49" s="1" t="s">
        <v>1220</v>
      </c>
      <c r="L49" s="1" t="s">
        <v>1221</v>
      </c>
      <c r="M49" s="1" t="s">
        <v>1222</v>
      </c>
      <c r="N49" s="1" t="s">
        <v>546</v>
      </c>
      <c r="O49" s="1" t="s">
        <v>454</v>
      </c>
      <c r="P49" s="27" t="s">
        <v>982</v>
      </c>
    </row>
    <row r="50" spans="1:16" ht="29.5" thickBot="1" x14ac:dyDescent="0.4">
      <c r="A50" s="3" t="s">
        <v>1223</v>
      </c>
      <c r="B50" s="1" t="s">
        <v>932</v>
      </c>
      <c r="C50" s="1" t="s">
        <v>1224</v>
      </c>
      <c r="D50" s="1" t="s">
        <v>403</v>
      </c>
      <c r="E50" s="1" t="s">
        <v>770</v>
      </c>
      <c r="F50" s="1" t="s">
        <v>15</v>
      </c>
      <c r="G50" s="1" t="s">
        <v>405</v>
      </c>
      <c r="H50" s="1" t="s">
        <v>928</v>
      </c>
      <c r="I50" s="1" t="s">
        <v>928</v>
      </c>
      <c r="J50" s="2" t="s">
        <v>1519</v>
      </c>
      <c r="K50" s="1" t="s">
        <v>1009</v>
      </c>
      <c r="L50" s="1" t="s">
        <v>1225</v>
      </c>
      <c r="M50" s="1" t="s">
        <v>972</v>
      </c>
      <c r="N50" s="1" t="s">
        <v>540</v>
      </c>
      <c r="O50" s="1" t="s">
        <v>454</v>
      </c>
      <c r="P50" s="26" t="s">
        <v>94</v>
      </c>
    </row>
    <row r="51" spans="1:16" ht="29.5" thickBot="1" x14ac:dyDescent="0.4">
      <c r="A51" s="7" t="s">
        <v>1226</v>
      </c>
      <c r="B51" s="8" t="s">
        <v>932</v>
      </c>
      <c r="C51" s="8" t="s">
        <v>12</v>
      </c>
      <c r="D51" s="8" t="s">
        <v>1227</v>
      </c>
      <c r="E51" s="8" t="s">
        <v>67</v>
      </c>
      <c r="F51" s="8" t="s">
        <v>15</v>
      </c>
      <c r="G51" s="8" t="s">
        <v>1228</v>
      </c>
      <c r="H51" s="8" t="s">
        <v>928</v>
      </c>
      <c r="I51" s="8" t="s">
        <v>928</v>
      </c>
      <c r="J51" s="2" t="s">
        <v>1520</v>
      </c>
      <c r="K51" s="8" t="s">
        <v>934</v>
      </c>
      <c r="L51" s="8" t="s">
        <v>935</v>
      </c>
      <c r="M51" s="8" t="s">
        <v>671</v>
      </c>
      <c r="N51" s="8" t="s">
        <v>546</v>
      </c>
      <c r="O51" s="8" t="s">
        <v>455</v>
      </c>
      <c r="P51" s="28" t="s">
        <v>950</v>
      </c>
    </row>
    <row r="55" spans="1:16" x14ac:dyDescent="0.35">
      <c r="A55" s="23" t="s">
        <v>1229</v>
      </c>
      <c r="B55" s="23">
        <f>COUNTIF(O2:O51,"Yes")</f>
        <v>44</v>
      </c>
    </row>
    <row r="56" spans="1:16" x14ac:dyDescent="0.35">
      <c r="A56" s="23" t="s">
        <v>459</v>
      </c>
      <c r="B56" s="23">
        <f>COUNTIF(G2:G51,"N/A")</f>
        <v>0</v>
      </c>
    </row>
    <row r="57" spans="1:16" x14ac:dyDescent="0.35">
      <c r="A57" s="23" t="s">
        <v>458</v>
      </c>
      <c r="B57" s="23">
        <f>COUNTIF(H2:H51,"N/A")</f>
        <v>13</v>
      </c>
    </row>
    <row r="58" spans="1:16" x14ac:dyDescent="0.35">
      <c r="A58" s="23" t="s">
        <v>457</v>
      </c>
      <c r="B58" s="23">
        <f>COUNTIF(I2:I52,"N/A")</f>
        <v>13</v>
      </c>
    </row>
  </sheetData>
  <hyperlinks>
    <hyperlink ref="I3" r:id="rId1" xr:uid="{31AF3936-F4F9-44E0-8CA2-2A1ED2673E42}"/>
    <hyperlink ref="I5" r:id="rId2" xr:uid="{80398B19-A1CA-47AC-9D74-479205B45D8F}"/>
    <hyperlink ref="I7" r:id="rId3" xr:uid="{D7DB311B-CB33-4DA8-9A93-1C27E06D37EB}"/>
    <hyperlink ref="I8" r:id="rId4" xr:uid="{888EFC16-0FF1-43AF-A98C-8771FCA09868}"/>
    <hyperlink ref="I9" r:id="rId5" xr:uid="{2C84F05A-787B-481D-89C0-C8E6D896C9F4}"/>
    <hyperlink ref="I10" r:id="rId6" xr:uid="{93974BD9-C1FE-4E0D-A397-821919FA72AA}"/>
    <hyperlink ref="I12" r:id="rId7" xr:uid="{29229819-2173-4850-9027-81A1FEB73D77}"/>
    <hyperlink ref="I13" r:id="rId8" xr:uid="{9093A801-A550-4233-AD5F-4A79256BA05F}"/>
    <hyperlink ref="I14" r:id="rId9" xr:uid="{56FA12C6-1959-4938-B77C-DE9E89E6BAFD}"/>
    <hyperlink ref="I15" r:id="rId10" xr:uid="{7D145457-DD37-4A8A-8F0C-CA423C275047}"/>
    <hyperlink ref="I16" r:id="rId11" xr:uid="{391257BB-8497-4624-957B-A1EFE0BAFCC9}"/>
    <hyperlink ref="I17" r:id="rId12" xr:uid="{D9535BE5-7B3F-4FEE-B74D-74BB390ACB91}"/>
    <hyperlink ref="I18" r:id="rId13" xr:uid="{38291645-AE8E-43E1-86DD-73EE279CDDFE}"/>
    <hyperlink ref="I19" r:id="rId14" xr:uid="{A93DDAEE-ECEA-4A7E-B10B-B487C56F703E}"/>
    <hyperlink ref="I21" r:id="rId15" xr:uid="{88D07884-D4AD-4C22-9AE2-7429528199A0}"/>
    <hyperlink ref="I22" r:id="rId16" xr:uid="{58AA6ACC-4AC3-4480-842B-E94282708E96}"/>
    <hyperlink ref="I23" r:id="rId17" xr:uid="{DD8885CF-D842-4DA5-A7C1-94A78A45EAE5}"/>
    <hyperlink ref="I24" r:id="rId18" xr:uid="{F2863091-D91B-4B92-887F-1FA1F872A3AA}"/>
    <hyperlink ref="I26" r:id="rId19" xr:uid="{47ACFF3B-889D-4CC7-9E1D-29206FC9C0DC}"/>
    <hyperlink ref="I27" r:id="rId20" xr:uid="{FE2FC241-93A9-4513-980A-4C2A2A57180E}"/>
    <hyperlink ref="I29" r:id="rId21" xr:uid="{26C75136-F07B-48FA-B005-6D988BDD9BA2}"/>
    <hyperlink ref="I30" r:id="rId22" xr:uid="{7553E059-5801-4EB7-8CEA-0665DA67F9F3}"/>
    <hyperlink ref="I31" r:id="rId23" xr:uid="{5F4E8FEC-0CAD-40F6-9605-E28D4FF80188}"/>
    <hyperlink ref="I32" r:id="rId24" xr:uid="{E6907B7B-15B1-48B8-A904-5D2BECA64EA0}"/>
    <hyperlink ref="I33" r:id="rId25" xr:uid="{19771424-D865-4F95-9E10-BE08F5A99FF9}"/>
    <hyperlink ref="I34" r:id="rId26" xr:uid="{76A6BA73-2ADD-45D8-8785-38B698205856}"/>
    <hyperlink ref="I35" r:id="rId27" xr:uid="{CD6082ED-E554-412A-8869-9BDAC3006D1E}"/>
    <hyperlink ref="I36" r:id="rId28" xr:uid="{1F2E159C-CEAA-476E-A64F-A07BDE9BADC4}"/>
    <hyperlink ref="I37" r:id="rId29" xr:uid="{9FDD0D87-D0C6-442D-8474-BAD247DA2D15}"/>
    <hyperlink ref="I38" r:id="rId30" xr:uid="{03BF38B5-8210-4495-BF73-16A4A0E3CEE1}"/>
    <hyperlink ref="I39" r:id="rId31" xr:uid="{8DCE7AA4-AB55-435C-B845-5556A6C0A8D2}"/>
    <hyperlink ref="I40" r:id="rId32" xr:uid="{36D29553-99DA-46C7-926A-BBCFBA5FAF58}"/>
    <hyperlink ref="I43" r:id="rId33" xr:uid="{6CE4EBE7-63B3-48DB-8FED-B84C2575C8C6}"/>
    <hyperlink ref="I44" r:id="rId34" xr:uid="{D988D163-BE31-43ED-BA4D-BDC87F145BB3}"/>
    <hyperlink ref="I47" r:id="rId35" xr:uid="{1C53A00E-9484-49A0-A5EE-89422DCF541F}"/>
    <hyperlink ref="I48" r:id="rId36" xr:uid="{5822F9C4-D58D-4484-94F4-745C8B4DAACC}"/>
    <hyperlink ref="I49" r:id="rId37" xr:uid="{EA1D3CE1-503B-4481-8339-F73478A7C734}"/>
    <hyperlink ref="J2" r:id="rId38" xr:uid="{C6C4EE25-F4DA-4348-98CE-18D4BFF6238C}"/>
    <hyperlink ref="J3" r:id="rId39" xr:uid="{99E2DD3F-348B-47D6-8670-E1D557A6DF1B}"/>
    <hyperlink ref="J5" r:id="rId40" xr:uid="{57CF05A1-5D32-4826-AD1D-F65E4E776859}"/>
    <hyperlink ref="J6" r:id="rId41" xr:uid="{418E92FF-F07E-4FFA-BCB0-5311BBAE24BE}"/>
    <hyperlink ref="J7" r:id="rId42" xr:uid="{3E6ED735-66A9-493F-8FDE-705D18F514D3}"/>
    <hyperlink ref="J8" r:id="rId43" xr:uid="{9A4D1374-F847-47FA-9F3A-603EBC899785}"/>
    <hyperlink ref="J9" r:id="rId44" xr:uid="{068E92FC-CB78-46EE-A4B7-1E32657E0A16}"/>
    <hyperlink ref="J10" r:id="rId45" xr:uid="{AF904CF4-7E16-4398-AD3E-AB0BF4EFF92A}"/>
    <hyperlink ref="J11" r:id="rId46" xr:uid="{7BB10C73-D1EC-4CDB-80D5-3F823B81FCEB}"/>
    <hyperlink ref="J12" r:id="rId47" xr:uid="{E64A8477-2E14-45FB-83B6-668CF4B61E39}"/>
    <hyperlink ref="J13" r:id="rId48" xr:uid="{FF9F9905-A59B-4B72-AF2D-7137C71EEC5D}"/>
    <hyperlink ref="J14" r:id="rId49" xr:uid="{5FDCBCD0-23D0-4510-98FC-D4ECB4A2C28A}"/>
    <hyperlink ref="J15" r:id="rId50" xr:uid="{BB759074-EB52-4E79-843B-325D6EB2B3C1}"/>
    <hyperlink ref="J16" r:id="rId51" xr:uid="{CD06E5CC-B909-4C0B-85F7-B1AD53B5420A}"/>
    <hyperlink ref="J17" r:id="rId52" xr:uid="{58825F31-09F6-4DE8-B315-73DE52F6E29C}"/>
    <hyperlink ref="J18" r:id="rId53" xr:uid="{CB9453EC-F5D5-4E31-9DCC-FD3560AA295F}"/>
    <hyperlink ref="J19" r:id="rId54" xr:uid="{74BA6482-21E5-4C6C-8143-24D1D173958C}"/>
    <hyperlink ref="J20" r:id="rId55" xr:uid="{DD89C4BE-B938-448B-B932-2240931DC334}"/>
    <hyperlink ref="J21" r:id="rId56" xr:uid="{9FA3E34B-B89A-45C6-B78A-6A44D659E547}"/>
    <hyperlink ref="J22" r:id="rId57" xr:uid="{4265B0CD-1552-4955-9755-26095172B4D5}"/>
    <hyperlink ref="J23" r:id="rId58" xr:uid="{C1C2DD4A-D143-4617-910A-E4017ED244EA}"/>
    <hyperlink ref="J24" r:id="rId59" xr:uid="{77B0D0E5-A31F-45A2-AD35-13AE90E614C1}"/>
    <hyperlink ref="J26" r:id="rId60" xr:uid="{59902675-77C5-428B-9451-2286F1F3B8A7}"/>
    <hyperlink ref="J27" r:id="rId61" xr:uid="{49FD4638-CDB8-4CD6-9EB3-5EAD59633D6E}"/>
    <hyperlink ref="J29" r:id="rId62" xr:uid="{7F27E528-E946-47E0-B87C-9C5AECE7FF68}"/>
    <hyperlink ref="J30" r:id="rId63" xr:uid="{A41DB0F8-4A3D-4B66-B8E0-D1A953637684}"/>
    <hyperlink ref="J31" r:id="rId64" xr:uid="{1F1238C4-BB55-463A-A9F6-32CFBD74217B}"/>
    <hyperlink ref="J32" r:id="rId65" xr:uid="{96BA5B1C-845C-43BE-9E4F-E0C2AEABA39C}"/>
    <hyperlink ref="J33" r:id="rId66" xr:uid="{8D208007-A51E-451F-9406-297C568CB6AE}"/>
    <hyperlink ref="J34" r:id="rId67" xr:uid="{AA9D3D57-4AA2-4585-A238-494A02323A42}"/>
    <hyperlink ref="J35" r:id="rId68" xr:uid="{DD647C6B-D067-43D2-B978-70F5BB21A529}"/>
    <hyperlink ref="J36" r:id="rId69" xr:uid="{B605D46F-B310-4374-95F7-66E668EC0804}"/>
    <hyperlink ref="J37" r:id="rId70" xr:uid="{DAC6F185-4BF6-45A3-B0B8-905039CD3F23}"/>
    <hyperlink ref="J38" r:id="rId71" xr:uid="{42707527-632C-489A-B5E1-F64E6B812F62}"/>
    <hyperlink ref="J39" r:id="rId72" xr:uid="{2BA27880-AC67-431C-9EDF-5652F237DF09}"/>
    <hyperlink ref="J40" r:id="rId73" xr:uid="{4E9BBB26-FC68-4EC3-BAC1-008B831A9623}"/>
    <hyperlink ref="J41" r:id="rId74" xr:uid="{0CC00BAF-9031-4D08-9D3E-423EF92EB2E9}"/>
    <hyperlink ref="J42" r:id="rId75" xr:uid="{BC06F109-ABCC-4651-909E-671B64F2AC15}"/>
    <hyperlink ref="J43" r:id="rId76" xr:uid="{B04C054D-5B77-473C-8EAB-9C435D7F85DF}"/>
    <hyperlink ref="J44" r:id="rId77" xr:uid="{D85F5129-95A0-44CC-A151-1C05C4DBBC98}"/>
    <hyperlink ref="J46" r:id="rId78" xr:uid="{7378FF32-8BB5-48B2-AD31-03904E07391B}"/>
    <hyperlink ref="J47" r:id="rId79" xr:uid="{31893642-CE57-4FA9-98EE-2AE5BF265512}"/>
    <hyperlink ref="J48" r:id="rId80" xr:uid="{DD8F236F-05EF-4139-B61B-579E32DE7AD7}"/>
    <hyperlink ref="J49" r:id="rId81" xr:uid="{593444EC-8DDB-4FBD-996C-450BDE2527C4}"/>
    <hyperlink ref="J50" r:id="rId82" xr:uid="{CC23507C-92E5-47F2-9782-44C8FD1DBFAE}"/>
    <hyperlink ref="J51" r:id="rId83" xr:uid="{558E99F0-B36B-47FE-A9A2-1E31B27FCFD6}"/>
  </hyperlinks>
  <pageMargins left="0.7" right="0.7" top="0.75" bottom="0.75" header="0.3" footer="0.3"/>
  <tableParts count="1">
    <tablePart r:id="rId8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1533-EBDD-4A09-8AE2-3315E042592B}">
  <dimension ref="A1:R54"/>
  <sheetViews>
    <sheetView topLeftCell="A46" workbookViewId="0">
      <selection activeCell="B51" sqref="B51"/>
    </sheetView>
  </sheetViews>
  <sheetFormatPr defaultRowHeight="14.5" x14ac:dyDescent="0.35"/>
  <cols>
    <col min="1" max="1" width="24.54296875" customWidth="1"/>
    <col min="3" max="3" width="14.81640625" customWidth="1"/>
    <col min="4" max="4" width="44.6328125" customWidth="1"/>
    <col min="5" max="5" width="14.36328125" customWidth="1"/>
    <col min="6" max="6" width="13.36328125" customWidth="1"/>
    <col min="7" max="7" width="16.6328125" customWidth="1"/>
    <col min="8" max="8" width="24.26953125" customWidth="1"/>
    <col min="9" max="9" width="24.36328125" customWidth="1"/>
    <col min="10" max="10" width="22.90625" customWidth="1"/>
    <col min="11" max="11" width="36.1796875" customWidth="1"/>
    <col min="12" max="12" width="23.7265625" customWidth="1"/>
    <col min="13" max="13" width="16.90625" customWidth="1"/>
    <col min="14" max="14" width="18.453125" customWidth="1"/>
    <col min="15" max="15" width="12.7265625" customWidth="1"/>
    <col min="16" max="16" width="19.54296875" customWidth="1"/>
    <col min="17" max="17" width="17.26953125" customWidth="1"/>
    <col min="18" max="18" width="27.54296875" customWidth="1"/>
  </cols>
  <sheetData>
    <row r="1" spans="1:18" ht="1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283</v>
      </c>
      <c r="I1" s="5" t="s">
        <v>485</v>
      </c>
      <c r="J1" s="5" t="s">
        <v>486</v>
      </c>
      <c r="K1" s="1" t="s">
        <v>7</v>
      </c>
      <c r="L1" s="5" t="s">
        <v>487</v>
      </c>
      <c r="M1" s="5" t="s">
        <v>1230</v>
      </c>
      <c r="N1" s="5" t="s">
        <v>1231</v>
      </c>
      <c r="O1" s="5" t="s">
        <v>488</v>
      </c>
      <c r="P1" s="5" t="s">
        <v>489</v>
      </c>
      <c r="Q1" s="5" t="s">
        <v>8</v>
      </c>
      <c r="R1" s="6" t="s">
        <v>9</v>
      </c>
    </row>
    <row r="2" spans="1:18" ht="39" thickBot="1" x14ac:dyDescent="0.4">
      <c r="A2" s="3" t="s">
        <v>1232</v>
      </c>
      <c r="B2" s="1" t="s">
        <v>1233</v>
      </c>
      <c r="C2" s="1" t="s">
        <v>31</v>
      </c>
      <c r="D2" s="1" t="s">
        <v>1234</v>
      </c>
      <c r="E2" s="1" t="s">
        <v>14</v>
      </c>
      <c r="F2" s="1" t="s">
        <v>15</v>
      </c>
      <c r="G2" s="1" t="s">
        <v>1235</v>
      </c>
      <c r="H2" s="1" t="s">
        <v>1236</v>
      </c>
      <c r="I2" s="2" t="s">
        <v>1237</v>
      </c>
      <c r="J2" s="2" t="s">
        <v>1238</v>
      </c>
      <c r="K2" s="2" t="s">
        <v>1433</v>
      </c>
      <c r="L2" s="1" t="s">
        <v>1239</v>
      </c>
      <c r="M2" s="29">
        <v>9</v>
      </c>
      <c r="N2" s="1" t="s">
        <v>1240</v>
      </c>
      <c r="O2" s="1" t="s">
        <v>1241</v>
      </c>
      <c r="P2" s="1" t="s">
        <v>1242</v>
      </c>
      <c r="Q2" s="1" t="s">
        <v>454</v>
      </c>
      <c r="R2" s="24" t="s">
        <v>1237</v>
      </c>
    </row>
    <row r="3" spans="1:18" ht="39" thickBot="1" x14ac:dyDescent="0.4">
      <c r="A3" s="3" t="s">
        <v>1243</v>
      </c>
      <c r="B3" s="1" t="s">
        <v>1233</v>
      </c>
      <c r="C3" s="1" t="s">
        <v>82</v>
      </c>
      <c r="D3" s="1" t="s">
        <v>1244</v>
      </c>
      <c r="E3" s="1" t="s">
        <v>14</v>
      </c>
      <c r="F3" s="1" t="s">
        <v>15</v>
      </c>
      <c r="G3" s="1" t="s">
        <v>1245</v>
      </c>
      <c r="H3" s="1" t="s">
        <v>928</v>
      </c>
      <c r="I3" s="2" t="s">
        <v>1246</v>
      </c>
      <c r="J3" s="1" t="s">
        <v>928</v>
      </c>
      <c r="K3" s="2" t="s">
        <v>1434</v>
      </c>
      <c r="L3" s="1" t="s">
        <v>1247</v>
      </c>
      <c r="M3" s="29">
        <v>10</v>
      </c>
      <c r="N3" s="1" t="s">
        <v>1248</v>
      </c>
      <c r="O3" s="1" t="s">
        <v>1249</v>
      </c>
      <c r="P3" s="1" t="s">
        <v>1242</v>
      </c>
      <c r="Q3" s="1" t="s">
        <v>454</v>
      </c>
      <c r="R3" s="24" t="s">
        <v>1246</v>
      </c>
    </row>
    <row r="4" spans="1:18" ht="51.5" thickBot="1" x14ac:dyDescent="0.4">
      <c r="A4" s="3" t="s">
        <v>1250</v>
      </c>
      <c r="B4" s="1" t="s">
        <v>1233</v>
      </c>
      <c r="C4" s="1" t="s">
        <v>12</v>
      </c>
      <c r="D4" s="1" t="s">
        <v>1251</v>
      </c>
      <c r="E4" s="1" t="s">
        <v>67</v>
      </c>
      <c r="F4" s="1" t="s">
        <v>15</v>
      </c>
      <c r="G4" s="1" t="s">
        <v>1252</v>
      </c>
      <c r="H4" s="1" t="s">
        <v>1253</v>
      </c>
      <c r="I4" s="2" t="s">
        <v>1254</v>
      </c>
      <c r="J4" s="1" t="s">
        <v>928</v>
      </c>
      <c r="K4" s="2" t="s">
        <v>1435</v>
      </c>
      <c r="L4" s="1" t="s">
        <v>1255</v>
      </c>
      <c r="M4" s="29">
        <v>4</v>
      </c>
      <c r="N4" s="1" t="s">
        <v>1240</v>
      </c>
      <c r="O4" s="1" t="s">
        <v>1256</v>
      </c>
      <c r="P4" s="1" t="s">
        <v>1242</v>
      </c>
      <c r="Q4" s="1" t="s">
        <v>454</v>
      </c>
      <c r="R4" s="24" t="s">
        <v>1254</v>
      </c>
    </row>
    <row r="5" spans="1:18" ht="39" thickBot="1" x14ac:dyDescent="0.4">
      <c r="A5" s="3" t="s">
        <v>318</v>
      </c>
      <c r="B5" s="1" t="s">
        <v>1233</v>
      </c>
      <c r="C5" s="1" t="s">
        <v>12</v>
      </c>
      <c r="D5" s="1" t="s">
        <v>503</v>
      </c>
      <c r="E5" s="1" t="s">
        <v>78</v>
      </c>
      <c r="F5" s="1" t="s">
        <v>15</v>
      </c>
      <c r="G5" s="1" t="s">
        <v>321</v>
      </c>
      <c r="H5" s="1" t="s">
        <v>504</v>
      </c>
      <c r="I5" s="2" t="s">
        <v>323</v>
      </c>
      <c r="J5" s="1" t="s">
        <v>928</v>
      </c>
      <c r="K5" s="2" t="s">
        <v>1436</v>
      </c>
      <c r="L5" s="1" t="s">
        <v>1257</v>
      </c>
      <c r="M5" s="29">
        <v>4</v>
      </c>
      <c r="N5" s="1" t="s">
        <v>1240</v>
      </c>
      <c r="O5" s="1" t="s">
        <v>1256</v>
      </c>
      <c r="P5" s="1" t="s">
        <v>540</v>
      </c>
      <c r="Q5" s="1" t="s">
        <v>454</v>
      </c>
      <c r="R5" s="24" t="s">
        <v>323</v>
      </c>
    </row>
    <row r="6" spans="1:18" ht="39" thickBot="1" x14ac:dyDescent="0.4">
      <c r="A6" s="3" t="s">
        <v>1258</v>
      </c>
      <c r="B6" s="1" t="s">
        <v>1233</v>
      </c>
      <c r="C6" s="1" t="s">
        <v>12</v>
      </c>
      <c r="D6" s="1" t="s">
        <v>1259</v>
      </c>
      <c r="E6" s="1" t="s">
        <v>54</v>
      </c>
      <c r="F6" s="1" t="s">
        <v>15</v>
      </c>
      <c r="G6" s="1" t="s">
        <v>1260</v>
      </c>
      <c r="H6" s="1" t="s">
        <v>1261</v>
      </c>
      <c r="I6" s="2" t="s">
        <v>1262</v>
      </c>
      <c r="J6" s="1" t="s">
        <v>928</v>
      </c>
      <c r="K6" s="2" t="s">
        <v>1437</v>
      </c>
      <c r="L6" s="1" t="s">
        <v>1263</v>
      </c>
      <c r="M6" s="29">
        <v>4</v>
      </c>
      <c r="N6" s="1" t="s">
        <v>1248</v>
      </c>
      <c r="O6" s="1" t="s">
        <v>1256</v>
      </c>
      <c r="P6" s="1" t="s">
        <v>1242</v>
      </c>
      <c r="Q6" s="1" t="s">
        <v>454</v>
      </c>
      <c r="R6" s="24" t="s">
        <v>1262</v>
      </c>
    </row>
    <row r="7" spans="1:18" ht="39" thickBot="1" x14ac:dyDescent="0.4">
      <c r="A7" s="3" t="s">
        <v>1264</v>
      </c>
      <c r="B7" s="1" t="s">
        <v>1233</v>
      </c>
      <c r="C7" s="1" t="s">
        <v>12</v>
      </c>
      <c r="D7" s="1" t="s">
        <v>1265</v>
      </c>
      <c r="E7" s="1" t="s">
        <v>78</v>
      </c>
      <c r="F7" s="1" t="s">
        <v>15</v>
      </c>
      <c r="G7" s="1" t="s">
        <v>1266</v>
      </c>
      <c r="H7" s="1" t="s">
        <v>1267</v>
      </c>
      <c r="I7" s="2" t="s">
        <v>1268</v>
      </c>
      <c r="J7" s="1" t="s">
        <v>928</v>
      </c>
      <c r="K7" s="2" t="s">
        <v>1438</v>
      </c>
      <c r="L7" s="1" t="s">
        <v>1269</v>
      </c>
      <c r="M7" s="29">
        <v>4</v>
      </c>
      <c r="N7" s="1" t="s">
        <v>1248</v>
      </c>
      <c r="O7" s="1" t="s">
        <v>1256</v>
      </c>
      <c r="P7" s="1" t="s">
        <v>1242</v>
      </c>
      <c r="Q7" s="1" t="s">
        <v>454</v>
      </c>
      <c r="R7" s="24" t="s">
        <v>1268</v>
      </c>
    </row>
    <row r="8" spans="1:18" ht="39" thickBot="1" x14ac:dyDescent="0.4">
      <c r="A8" s="3" t="s">
        <v>1270</v>
      </c>
      <c r="B8" s="1" t="s">
        <v>1233</v>
      </c>
      <c r="C8" s="1" t="s">
        <v>12</v>
      </c>
      <c r="D8" s="1" t="s">
        <v>1271</v>
      </c>
      <c r="E8" s="1" t="s">
        <v>72</v>
      </c>
      <c r="F8" s="1" t="s">
        <v>15</v>
      </c>
      <c r="G8" s="1" t="s">
        <v>1272</v>
      </c>
      <c r="H8" s="1" t="s">
        <v>928</v>
      </c>
      <c r="I8" s="1" t="s">
        <v>928</v>
      </c>
      <c r="J8" s="1" t="s">
        <v>928</v>
      </c>
      <c r="K8" s="2" t="s">
        <v>1439</v>
      </c>
      <c r="L8" s="1" t="s">
        <v>1274</v>
      </c>
      <c r="M8" s="29">
        <v>4</v>
      </c>
      <c r="N8" s="1" t="s">
        <v>1240</v>
      </c>
      <c r="O8" s="1" t="s">
        <v>1256</v>
      </c>
      <c r="P8" s="1" t="s">
        <v>1242</v>
      </c>
      <c r="Q8" s="1" t="s">
        <v>454</v>
      </c>
      <c r="R8" s="24" t="s">
        <v>1273</v>
      </c>
    </row>
    <row r="9" spans="1:18" ht="39" thickBot="1" x14ac:dyDescent="0.4">
      <c r="A9" s="3" t="s">
        <v>1275</v>
      </c>
      <c r="B9" s="1" t="s">
        <v>1233</v>
      </c>
      <c r="C9" s="1" t="s">
        <v>12</v>
      </c>
      <c r="D9" s="1" t="s">
        <v>1276</v>
      </c>
      <c r="E9" s="1" t="s">
        <v>51</v>
      </c>
      <c r="F9" s="1" t="s">
        <v>15</v>
      </c>
      <c r="G9" s="1" t="s">
        <v>1277</v>
      </c>
      <c r="H9" s="1" t="s">
        <v>928</v>
      </c>
      <c r="I9" s="2" t="s">
        <v>1278</v>
      </c>
      <c r="J9" s="1" t="s">
        <v>928</v>
      </c>
      <c r="K9" s="2" t="s">
        <v>1440</v>
      </c>
      <c r="L9" s="1" t="s">
        <v>1279</v>
      </c>
      <c r="M9" s="29">
        <v>2</v>
      </c>
      <c r="N9" s="1" t="s">
        <v>1280</v>
      </c>
      <c r="O9" s="1" t="s">
        <v>1281</v>
      </c>
      <c r="P9" s="1" t="s">
        <v>540</v>
      </c>
      <c r="Q9" s="1" t="s">
        <v>454</v>
      </c>
      <c r="R9" s="24" t="s">
        <v>1278</v>
      </c>
    </row>
    <row r="10" spans="1:18" ht="39" thickBot="1" x14ac:dyDescent="0.4">
      <c r="A10" s="3" t="s">
        <v>324</v>
      </c>
      <c r="B10" s="1" t="s">
        <v>1233</v>
      </c>
      <c r="C10" s="1" t="s">
        <v>12</v>
      </c>
      <c r="D10" s="1" t="s">
        <v>1282</v>
      </c>
      <c r="E10" s="1" t="s">
        <v>142</v>
      </c>
      <c r="F10" s="1" t="s">
        <v>15</v>
      </c>
      <c r="G10" s="1" t="s">
        <v>147</v>
      </c>
      <c r="H10" s="1" t="s">
        <v>1283</v>
      </c>
      <c r="I10" s="2" t="s">
        <v>148</v>
      </c>
      <c r="J10" s="2" t="s">
        <v>1284</v>
      </c>
      <c r="K10" s="2" t="s">
        <v>1441</v>
      </c>
      <c r="L10" s="1" t="s">
        <v>1285</v>
      </c>
      <c r="M10" s="29">
        <v>8</v>
      </c>
      <c r="N10" s="1" t="s">
        <v>1240</v>
      </c>
      <c r="O10" s="1" t="s">
        <v>1286</v>
      </c>
      <c r="P10" s="1" t="s">
        <v>1242</v>
      </c>
      <c r="Q10" s="1" t="s">
        <v>454</v>
      </c>
      <c r="R10" s="24" t="s">
        <v>148</v>
      </c>
    </row>
    <row r="11" spans="1:18" ht="39" thickBot="1" x14ac:dyDescent="0.4">
      <c r="A11" s="3" t="s">
        <v>1287</v>
      </c>
      <c r="B11" s="1" t="s">
        <v>1233</v>
      </c>
      <c r="C11" s="1" t="s">
        <v>12</v>
      </c>
      <c r="D11" s="1" t="s">
        <v>1288</v>
      </c>
      <c r="E11" s="1" t="s">
        <v>67</v>
      </c>
      <c r="F11" s="1" t="s">
        <v>15</v>
      </c>
      <c r="G11" s="1" t="s">
        <v>312</v>
      </c>
      <c r="H11" s="1" t="s">
        <v>928</v>
      </c>
      <c r="I11" s="1" t="s">
        <v>928</v>
      </c>
      <c r="J11" s="1" t="s">
        <v>928</v>
      </c>
      <c r="K11" s="2" t="s">
        <v>1442</v>
      </c>
      <c r="L11" s="1" t="s">
        <v>1290</v>
      </c>
      <c r="M11" s="29">
        <v>3</v>
      </c>
      <c r="N11" s="1" t="s">
        <v>1280</v>
      </c>
      <c r="O11" s="1" t="s">
        <v>1286</v>
      </c>
      <c r="P11" s="1" t="s">
        <v>540</v>
      </c>
      <c r="Q11" s="1" t="s">
        <v>454</v>
      </c>
      <c r="R11" s="24" t="s">
        <v>1289</v>
      </c>
    </row>
    <row r="12" spans="1:18" ht="44" thickBot="1" x14ac:dyDescent="0.4">
      <c r="A12" s="3" t="s">
        <v>1291</v>
      </c>
      <c r="B12" s="1" t="s">
        <v>1233</v>
      </c>
      <c r="C12" s="1" t="s">
        <v>12</v>
      </c>
      <c r="D12" s="1" t="s">
        <v>1292</v>
      </c>
      <c r="E12" s="1" t="s">
        <v>37</v>
      </c>
      <c r="F12" s="1" t="s">
        <v>15</v>
      </c>
      <c r="G12" s="1" t="s">
        <v>38</v>
      </c>
      <c r="H12" s="1" t="s">
        <v>317</v>
      </c>
      <c r="I12" s="2" t="s">
        <v>39</v>
      </c>
      <c r="J12" s="2" t="s">
        <v>1293</v>
      </c>
      <c r="K12" s="2" t="s">
        <v>1443</v>
      </c>
      <c r="L12" s="1" t="s">
        <v>1294</v>
      </c>
      <c r="M12" s="29">
        <v>4</v>
      </c>
      <c r="N12" s="1" t="s">
        <v>1240</v>
      </c>
      <c r="O12" s="1" t="s">
        <v>1295</v>
      </c>
      <c r="P12" s="1" t="s">
        <v>540</v>
      </c>
      <c r="Q12" s="1" t="s">
        <v>454</v>
      </c>
      <c r="R12" s="24" t="s">
        <v>39</v>
      </c>
    </row>
    <row r="13" spans="1:18" ht="39" thickBot="1" x14ac:dyDescent="0.4">
      <c r="A13" s="3" t="s">
        <v>1296</v>
      </c>
      <c r="B13" s="1" t="s">
        <v>1233</v>
      </c>
      <c r="C13" s="1" t="s">
        <v>25</v>
      </c>
      <c r="D13" s="1" t="s">
        <v>1297</v>
      </c>
      <c r="E13" s="1" t="s">
        <v>37</v>
      </c>
      <c r="F13" s="1" t="s">
        <v>15</v>
      </c>
      <c r="G13" s="1" t="s">
        <v>1298</v>
      </c>
      <c r="H13" s="1" t="s">
        <v>928</v>
      </c>
      <c r="I13" s="1" t="s">
        <v>928</v>
      </c>
      <c r="J13" s="1" t="s">
        <v>928</v>
      </c>
      <c r="K13" s="2" t="s">
        <v>1444</v>
      </c>
      <c r="L13" s="1" t="s">
        <v>1300</v>
      </c>
      <c r="M13" s="29">
        <v>5</v>
      </c>
      <c r="N13" s="1" t="s">
        <v>1248</v>
      </c>
      <c r="O13" s="1" t="s">
        <v>1281</v>
      </c>
      <c r="P13" s="1" t="s">
        <v>546</v>
      </c>
      <c r="Q13" s="1" t="s">
        <v>454</v>
      </c>
      <c r="R13" s="24" t="s">
        <v>1299</v>
      </c>
    </row>
    <row r="14" spans="1:18" ht="39" thickBot="1" x14ac:dyDescent="0.4">
      <c r="A14" s="3" t="s">
        <v>1301</v>
      </c>
      <c r="B14" s="1" t="s">
        <v>1233</v>
      </c>
      <c r="C14" s="1" t="s">
        <v>82</v>
      </c>
      <c r="D14" s="1" t="s">
        <v>1302</v>
      </c>
      <c r="E14" s="1" t="s">
        <v>78</v>
      </c>
      <c r="F14" s="1" t="s">
        <v>15</v>
      </c>
      <c r="G14" s="1" t="s">
        <v>147</v>
      </c>
      <c r="H14" s="1" t="s">
        <v>928</v>
      </c>
      <c r="I14" s="1" t="s">
        <v>928</v>
      </c>
      <c r="J14" s="1" t="s">
        <v>928</v>
      </c>
      <c r="K14" s="2" t="s">
        <v>1445</v>
      </c>
      <c r="L14" s="1" t="s">
        <v>1303</v>
      </c>
      <c r="M14" s="29">
        <v>3</v>
      </c>
      <c r="N14" s="1" t="s">
        <v>1280</v>
      </c>
      <c r="O14" s="1" t="s">
        <v>1256</v>
      </c>
      <c r="P14" s="1" t="s">
        <v>540</v>
      </c>
      <c r="Q14" s="1" t="s">
        <v>454</v>
      </c>
      <c r="R14" s="24" t="s">
        <v>1304</v>
      </c>
    </row>
    <row r="15" spans="1:18" ht="39" thickBot="1" x14ac:dyDescent="0.4">
      <c r="A15" s="3" t="s">
        <v>1305</v>
      </c>
      <c r="B15" s="1" t="s">
        <v>1233</v>
      </c>
      <c r="C15" s="1" t="s">
        <v>12</v>
      </c>
      <c r="D15" s="1" t="s">
        <v>1306</v>
      </c>
      <c r="E15" s="1" t="s">
        <v>78</v>
      </c>
      <c r="F15" s="1" t="s">
        <v>15</v>
      </c>
      <c r="G15" s="1" t="s">
        <v>1307</v>
      </c>
      <c r="H15" s="1" t="s">
        <v>1308</v>
      </c>
      <c r="I15" s="2" t="s">
        <v>1309</v>
      </c>
      <c r="J15" s="1" t="s">
        <v>928</v>
      </c>
      <c r="K15" s="2" t="s">
        <v>1446</v>
      </c>
      <c r="L15" s="1" t="s">
        <v>1303</v>
      </c>
      <c r="M15" s="29">
        <v>7</v>
      </c>
      <c r="N15" s="1" t="s">
        <v>1310</v>
      </c>
      <c r="O15" s="1" t="s">
        <v>1256</v>
      </c>
      <c r="P15" s="1" t="s">
        <v>1242</v>
      </c>
      <c r="Q15" s="1" t="s">
        <v>454</v>
      </c>
      <c r="R15" s="24" t="s">
        <v>1309</v>
      </c>
    </row>
    <row r="16" spans="1:18" ht="39" thickBot="1" x14ac:dyDescent="0.4">
      <c r="A16" s="3" t="s">
        <v>1311</v>
      </c>
      <c r="B16" s="1" t="s">
        <v>1233</v>
      </c>
      <c r="C16" s="1" t="s">
        <v>25</v>
      </c>
      <c r="D16" s="1" t="s">
        <v>368</v>
      </c>
      <c r="E16" s="1" t="s">
        <v>276</v>
      </c>
      <c r="F16" s="1" t="s">
        <v>15</v>
      </c>
      <c r="G16" s="1" t="s">
        <v>841</v>
      </c>
      <c r="H16" s="1" t="s">
        <v>928</v>
      </c>
      <c r="I16" s="1" t="s">
        <v>928</v>
      </c>
      <c r="J16" s="1" t="s">
        <v>928</v>
      </c>
      <c r="K16" s="2" t="s">
        <v>1447</v>
      </c>
      <c r="L16" s="1" t="s">
        <v>1313</v>
      </c>
      <c r="M16" s="29">
        <v>2</v>
      </c>
      <c r="N16" s="1" t="s">
        <v>1280</v>
      </c>
      <c r="O16" s="1" t="s">
        <v>981</v>
      </c>
      <c r="P16" s="1" t="s">
        <v>540</v>
      </c>
      <c r="Q16" s="1" t="s">
        <v>454</v>
      </c>
      <c r="R16" s="24" t="s">
        <v>1312</v>
      </c>
    </row>
    <row r="17" spans="1:18" ht="39" thickBot="1" x14ac:dyDescent="0.4">
      <c r="A17" s="3" t="s">
        <v>1314</v>
      </c>
      <c r="B17" s="1" t="s">
        <v>1233</v>
      </c>
      <c r="C17" s="1" t="s">
        <v>25</v>
      </c>
      <c r="D17" s="1" t="s">
        <v>1315</v>
      </c>
      <c r="E17" s="1" t="s">
        <v>51</v>
      </c>
      <c r="F17" s="1" t="s">
        <v>15</v>
      </c>
      <c r="G17" s="1" t="s">
        <v>1316</v>
      </c>
      <c r="H17" s="1" t="s">
        <v>928</v>
      </c>
      <c r="I17" s="1" t="s">
        <v>928</v>
      </c>
      <c r="J17" s="1" t="s">
        <v>928</v>
      </c>
      <c r="K17" s="2" t="s">
        <v>1448</v>
      </c>
      <c r="L17" s="1" t="s">
        <v>1318</v>
      </c>
      <c r="M17" s="29">
        <v>2</v>
      </c>
      <c r="N17" s="1" t="s">
        <v>1248</v>
      </c>
      <c r="O17" s="1" t="s">
        <v>1281</v>
      </c>
      <c r="P17" s="1" t="s">
        <v>546</v>
      </c>
      <c r="Q17" s="1" t="s">
        <v>455</v>
      </c>
      <c r="R17" s="24" t="s">
        <v>1317</v>
      </c>
    </row>
    <row r="18" spans="1:18" ht="51.5" thickBot="1" x14ac:dyDescent="0.4">
      <c r="A18" s="3" t="s">
        <v>1320</v>
      </c>
      <c r="B18" s="1" t="s">
        <v>1233</v>
      </c>
      <c r="C18" s="1" t="s">
        <v>31</v>
      </c>
      <c r="D18" s="1" t="s">
        <v>1321</v>
      </c>
      <c r="E18" s="1" t="s">
        <v>91</v>
      </c>
      <c r="F18" s="1" t="s">
        <v>15</v>
      </c>
      <c r="G18" s="1" t="s">
        <v>1322</v>
      </c>
      <c r="H18" s="1" t="s">
        <v>928</v>
      </c>
      <c r="I18" s="2" t="s">
        <v>787</v>
      </c>
      <c r="J18" s="1" t="s">
        <v>928</v>
      </c>
      <c r="K18" s="2" t="s">
        <v>1449</v>
      </c>
      <c r="L18" s="1" t="s">
        <v>1323</v>
      </c>
      <c r="M18" s="29">
        <v>3</v>
      </c>
      <c r="N18" s="1" t="s">
        <v>1240</v>
      </c>
      <c r="O18" s="1" t="s">
        <v>1324</v>
      </c>
      <c r="P18" s="1" t="s">
        <v>540</v>
      </c>
      <c r="Q18" s="1" t="s">
        <v>454</v>
      </c>
      <c r="R18" s="24" t="s">
        <v>787</v>
      </c>
    </row>
    <row r="19" spans="1:18" ht="39" thickBot="1" x14ac:dyDescent="0.4">
      <c r="A19" s="3" t="s">
        <v>1325</v>
      </c>
      <c r="B19" s="1" t="s">
        <v>1233</v>
      </c>
      <c r="C19" s="1" t="s">
        <v>31</v>
      </c>
      <c r="D19" s="1" t="s">
        <v>1326</v>
      </c>
      <c r="E19" s="1" t="s">
        <v>91</v>
      </c>
      <c r="F19" s="1" t="s">
        <v>15</v>
      </c>
      <c r="G19" s="1" t="s">
        <v>1327</v>
      </c>
      <c r="H19" s="1" t="s">
        <v>928</v>
      </c>
      <c r="I19" s="2" t="s">
        <v>955</v>
      </c>
      <c r="J19" s="1" t="s">
        <v>928</v>
      </c>
      <c r="K19" s="2" t="s">
        <v>1450</v>
      </c>
      <c r="L19" s="1" t="s">
        <v>1328</v>
      </c>
      <c r="M19" s="29">
        <v>3</v>
      </c>
      <c r="N19" s="1" t="s">
        <v>1240</v>
      </c>
      <c r="O19" s="1" t="s">
        <v>1329</v>
      </c>
      <c r="P19" s="1" t="s">
        <v>540</v>
      </c>
      <c r="Q19" s="1" t="s">
        <v>454</v>
      </c>
      <c r="R19" s="24" t="s">
        <v>955</v>
      </c>
    </row>
    <row r="20" spans="1:18" ht="29.5" thickBot="1" x14ac:dyDescent="0.4">
      <c r="A20" s="3" t="s">
        <v>81</v>
      </c>
      <c r="B20" s="1" t="s">
        <v>1233</v>
      </c>
      <c r="C20" s="1" t="s">
        <v>12</v>
      </c>
      <c r="D20" s="1" t="s">
        <v>83</v>
      </c>
      <c r="E20" s="1" t="s">
        <v>78</v>
      </c>
      <c r="F20" s="1" t="s">
        <v>15</v>
      </c>
      <c r="G20" s="1" t="s">
        <v>841</v>
      </c>
      <c r="H20" s="1" t="s">
        <v>928</v>
      </c>
      <c r="I20" s="1" t="s">
        <v>928</v>
      </c>
      <c r="J20" s="1" t="s">
        <v>928</v>
      </c>
      <c r="K20" s="2" t="s">
        <v>1451</v>
      </c>
      <c r="L20" s="1" t="s">
        <v>1303</v>
      </c>
      <c r="M20" s="29">
        <v>2</v>
      </c>
      <c r="N20" s="1" t="s">
        <v>1248</v>
      </c>
      <c r="O20" s="1" t="s">
        <v>1286</v>
      </c>
      <c r="P20" s="1" t="s">
        <v>546</v>
      </c>
      <c r="Q20" s="1" t="s">
        <v>454</v>
      </c>
      <c r="R20" s="24" t="s">
        <v>1330</v>
      </c>
    </row>
    <row r="21" spans="1:18" ht="39" thickBot="1" x14ac:dyDescent="0.4">
      <c r="A21" s="3" t="s">
        <v>1331</v>
      </c>
      <c r="B21" s="1" t="s">
        <v>1233</v>
      </c>
      <c r="C21" s="1" t="s">
        <v>12</v>
      </c>
      <c r="D21" s="1" t="s">
        <v>1332</v>
      </c>
      <c r="E21" s="1" t="s">
        <v>122</v>
      </c>
      <c r="F21" s="1" t="s">
        <v>15</v>
      </c>
      <c r="G21" s="1" t="s">
        <v>440</v>
      </c>
      <c r="H21" s="1" t="s">
        <v>1333</v>
      </c>
      <c r="I21" s="2" t="s">
        <v>1334</v>
      </c>
      <c r="J21" s="2" t="s">
        <v>1335</v>
      </c>
      <c r="K21" s="2" t="s">
        <v>1452</v>
      </c>
      <c r="L21" s="1" t="s">
        <v>1269</v>
      </c>
      <c r="M21" s="29">
        <v>2</v>
      </c>
      <c r="N21" s="1" t="s">
        <v>1336</v>
      </c>
      <c r="O21" s="1" t="s">
        <v>1256</v>
      </c>
      <c r="P21" s="1" t="s">
        <v>1242</v>
      </c>
      <c r="Q21" s="1" t="s">
        <v>454</v>
      </c>
      <c r="R21" s="24" t="s">
        <v>1334</v>
      </c>
    </row>
    <row r="22" spans="1:18" ht="39" thickBot="1" x14ac:dyDescent="0.4">
      <c r="A22" s="3" t="s">
        <v>1337</v>
      </c>
      <c r="B22" s="1" t="s">
        <v>1233</v>
      </c>
      <c r="C22" s="1" t="s">
        <v>12</v>
      </c>
      <c r="D22" s="1" t="s">
        <v>1338</v>
      </c>
      <c r="E22" s="1" t="s">
        <v>104</v>
      </c>
      <c r="F22" s="1" t="s">
        <v>15</v>
      </c>
      <c r="G22" s="1" t="s">
        <v>889</v>
      </c>
      <c r="H22" s="1" t="s">
        <v>928</v>
      </c>
      <c r="I22" s="2" t="s">
        <v>891</v>
      </c>
      <c r="J22" s="1" t="s">
        <v>928</v>
      </c>
      <c r="K22" s="2" t="s">
        <v>1453</v>
      </c>
      <c r="L22" s="1" t="s">
        <v>1339</v>
      </c>
      <c r="M22" s="29">
        <v>5</v>
      </c>
      <c r="N22" s="1" t="s">
        <v>1340</v>
      </c>
      <c r="O22" s="1" t="s">
        <v>1341</v>
      </c>
      <c r="P22" s="1" t="s">
        <v>1242</v>
      </c>
      <c r="Q22" s="1" t="s">
        <v>454</v>
      </c>
      <c r="R22" s="24" t="s">
        <v>891</v>
      </c>
    </row>
    <row r="23" spans="1:18" ht="39" thickBot="1" x14ac:dyDescent="0.4">
      <c r="A23" s="3" t="s">
        <v>625</v>
      </c>
      <c r="B23" s="1" t="s">
        <v>1233</v>
      </c>
      <c r="C23" s="1" t="s">
        <v>12</v>
      </c>
      <c r="D23" s="1" t="s">
        <v>1342</v>
      </c>
      <c r="E23" s="1" t="s">
        <v>117</v>
      </c>
      <c r="F23" s="1" t="s">
        <v>15</v>
      </c>
      <c r="G23" s="1" t="s">
        <v>440</v>
      </c>
      <c r="H23" s="1" t="s">
        <v>1333</v>
      </c>
      <c r="I23" s="2" t="s">
        <v>148</v>
      </c>
      <c r="J23" s="2" t="s">
        <v>1284</v>
      </c>
      <c r="K23" s="2" t="s">
        <v>1454</v>
      </c>
      <c r="L23" s="1" t="s">
        <v>1279</v>
      </c>
      <c r="M23" s="29">
        <v>6</v>
      </c>
      <c r="N23" s="1" t="s">
        <v>1343</v>
      </c>
      <c r="O23" s="1" t="s">
        <v>671</v>
      </c>
      <c r="P23" s="1" t="s">
        <v>1242</v>
      </c>
      <c r="Q23" s="1" t="s">
        <v>454</v>
      </c>
      <c r="R23" s="24" t="s">
        <v>148</v>
      </c>
    </row>
    <row r="24" spans="1:18" ht="39" thickBot="1" x14ac:dyDescent="0.4">
      <c r="A24" s="3" t="s">
        <v>1344</v>
      </c>
      <c r="B24" s="1" t="s">
        <v>1233</v>
      </c>
      <c r="C24" s="1" t="s">
        <v>12</v>
      </c>
      <c r="D24" s="1" t="s">
        <v>1345</v>
      </c>
      <c r="E24" s="1" t="s">
        <v>104</v>
      </c>
      <c r="F24" s="1" t="s">
        <v>15</v>
      </c>
      <c r="G24" s="1" t="s">
        <v>1346</v>
      </c>
      <c r="H24" s="1" t="s">
        <v>1347</v>
      </c>
      <c r="I24" s="2" t="s">
        <v>1348</v>
      </c>
      <c r="J24" s="1" t="s">
        <v>928</v>
      </c>
      <c r="K24" s="2" t="s">
        <v>1455</v>
      </c>
      <c r="L24" s="1" t="s">
        <v>1349</v>
      </c>
      <c r="M24" s="29">
        <v>5</v>
      </c>
      <c r="N24" s="1" t="s">
        <v>1280</v>
      </c>
      <c r="O24" s="1" t="s">
        <v>1350</v>
      </c>
      <c r="P24" s="1" t="s">
        <v>1242</v>
      </c>
      <c r="Q24" s="1" t="s">
        <v>454</v>
      </c>
      <c r="R24" s="24" t="s">
        <v>1348</v>
      </c>
    </row>
    <row r="25" spans="1:18" ht="39" thickBot="1" x14ac:dyDescent="0.4">
      <c r="A25" s="3" t="s">
        <v>136</v>
      </c>
      <c r="B25" s="1" t="s">
        <v>1233</v>
      </c>
      <c r="C25" s="1" t="s">
        <v>12</v>
      </c>
      <c r="D25" s="1" t="s">
        <v>1351</v>
      </c>
      <c r="E25" s="1" t="s">
        <v>117</v>
      </c>
      <c r="F25" s="1" t="s">
        <v>15</v>
      </c>
      <c r="G25" s="1" t="s">
        <v>138</v>
      </c>
      <c r="H25" s="1" t="s">
        <v>928</v>
      </c>
      <c r="I25" s="1" t="s">
        <v>928</v>
      </c>
      <c r="J25" s="1" t="s">
        <v>928</v>
      </c>
      <c r="K25" s="2" t="s">
        <v>1456</v>
      </c>
      <c r="L25" s="1" t="s">
        <v>1274</v>
      </c>
      <c r="M25" s="29">
        <v>2</v>
      </c>
      <c r="N25" s="1" t="s">
        <v>1310</v>
      </c>
      <c r="O25" s="1" t="s">
        <v>671</v>
      </c>
      <c r="P25" s="1" t="s">
        <v>546</v>
      </c>
      <c r="Q25" s="1" t="s">
        <v>454</v>
      </c>
      <c r="R25" s="27" t="s">
        <v>950</v>
      </c>
    </row>
    <row r="26" spans="1:18" ht="29.5" thickBot="1" x14ac:dyDescent="0.4">
      <c r="A26" s="3" t="s">
        <v>1352</v>
      </c>
      <c r="B26" s="1" t="s">
        <v>1233</v>
      </c>
      <c r="C26" s="1" t="s">
        <v>12</v>
      </c>
      <c r="D26" s="1" t="s">
        <v>442</v>
      </c>
      <c r="E26" s="1" t="s">
        <v>122</v>
      </c>
      <c r="F26" s="1" t="s">
        <v>15</v>
      </c>
      <c r="G26" s="1" t="s">
        <v>42</v>
      </c>
      <c r="H26" s="1" t="s">
        <v>465</v>
      </c>
      <c r="I26" s="2" t="s">
        <v>43</v>
      </c>
      <c r="J26" s="1" t="s">
        <v>928</v>
      </c>
      <c r="K26" s="2" t="s">
        <v>1457</v>
      </c>
      <c r="L26" s="1" t="s">
        <v>1353</v>
      </c>
      <c r="M26" s="29">
        <v>2</v>
      </c>
      <c r="N26" s="1" t="s">
        <v>1240</v>
      </c>
      <c r="O26" s="1" t="s">
        <v>1354</v>
      </c>
      <c r="P26" s="1" t="s">
        <v>546</v>
      </c>
      <c r="Q26" s="1" t="s">
        <v>454</v>
      </c>
      <c r="R26" s="24" t="s">
        <v>43</v>
      </c>
    </row>
    <row r="27" spans="1:18" ht="39" thickBot="1" x14ac:dyDescent="0.4">
      <c r="A27" s="3" t="s">
        <v>1355</v>
      </c>
      <c r="B27" s="1" t="s">
        <v>1233</v>
      </c>
      <c r="C27" s="1" t="s">
        <v>12</v>
      </c>
      <c r="D27" s="1" t="s">
        <v>1356</v>
      </c>
      <c r="E27" s="1" t="s">
        <v>142</v>
      </c>
      <c r="F27" s="1" t="s">
        <v>15</v>
      </c>
      <c r="G27" s="1" t="s">
        <v>1357</v>
      </c>
      <c r="H27" s="1" t="s">
        <v>1358</v>
      </c>
      <c r="I27" s="2" t="s">
        <v>1359</v>
      </c>
      <c r="J27" s="2" t="s">
        <v>1360</v>
      </c>
      <c r="K27" s="2" t="s">
        <v>1458</v>
      </c>
      <c r="L27" s="1" t="s">
        <v>1279</v>
      </c>
      <c r="M27" s="29">
        <v>3</v>
      </c>
      <c r="N27" s="1" t="s">
        <v>1240</v>
      </c>
      <c r="O27" s="1" t="s">
        <v>671</v>
      </c>
      <c r="P27" s="1" t="s">
        <v>1242</v>
      </c>
      <c r="Q27" s="1" t="s">
        <v>454</v>
      </c>
      <c r="R27" s="24" t="s">
        <v>1359</v>
      </c>
    </row>
    <row r="28" spans="1:18" ht="44" thickBot="1" x14ac:dyDescent="0.4">
      <c r="A28" s="3" t="s">
        <v>140</v>
      </c>
      <c r="B28" s="1" t="s">
        <v>1233</v>
      </c>
      <c r="C28" s="1" t="s">
        <v>12</v>
      </c>
      <c r="D28" s="1" t="s">
        <v>1361</v>
      </c>
      <c r="E28" s="1" t="s">
        <v>142</v>
      </c>
      <c r="F28" s="1" t="s">
        <v>15</v>
      </c>
      <c r="G28" s="1" t="s">
        <v>143</v>
      </c>
      <c r="H28" s="1" t="s">
        <v>928</v>
      </c>
      <c r="I28" s="1" t="s">
        <v>928</v>
      </c>
      <c r="J28" s="1" t="s">
        <v>928</v>
      </c>
      <c r="K28" s="2" t="s">
        <v>1459</v>
      </c>
      <c r="L28" s="1" t="s">
        <v>1279</v>
      </c>
      <c r="M28" s="29">
        <v>2</v>
      </c>
      <c r="N28" s="1" t="s">
        <v>1240</v>
      </c>
      <c r="O28" s="1" t="s">
        <v>671</v>
      </c>
      <c r="P28" s="1" t="s">
        <v>546</v>
      </c>
      <c r="Q28" s="1" t="s">
        <v>454</v>
      </c>
      <c r="R28" s="24" t="s">
        <v>329</v>
      </c>
    </row>
    <row r="29" spans="1:18" ht="39" thickBot="1" x14ac:dyDescent="0.4">
      <c r="A29" s="3" t="s">
        <v>149</v>
      </c>
      <c r="B29" s="1" t="s">
        <v>1233</v>
      </c>
      <c r="C29" s="1" t="s">
        <v>82</v>
      </c>
      <c r="D29" s="1" t="s">
        <v>1362</v>
      </c>
      <c r="E29" s="1" t="s">
        <v>151</v>
      </c>
      <c r="F29" s="1" t="s">
        <v>15</v>
      </c>
      <c r="G29" s="1" t="s">
        <v>1363</v>
      </c>
      <c r="H29" s="1" t="s">
        <v>1364</v>
      </c>
      <c r="I29" s="2" t="s">
        <v>153</v>
      </c>
      <c r="J29" s="2" t="s">
        <v>1365</v>
      </c>
      <c r="K29" s="2" t="s">
        <v>1460</v>
      </c>
      <c r="L29" s="1" t="s">
        <v>1285</v>
      </c>
      <c r="M29" s="29">
        <v>8</v>
      </c>
      <c r="N29" s="1" t="s">
        <v>1248</v>
      </c>
      <c r="O29" s="1" t="s">
        <v>832</v>
      </c>
      <c r="P29" s="1" t="s">
        <v>1242</v>
      </c>
      <c r="Q29" s="1" t="s">
        <v>454</v>
      </c>
      <c r="R29" s="24" t="s">
        <v>153</v>
      </c>
    </row>
    <row r="30" spans="1:18" ht="29.5" thickBot="1" x14ac:dyDescent="0.4">
      <c r="A30" s="3" t="s">
        <v>158</v>
      </c>
      <c r="B30" s="1" t="s">
        <v>1233</v>
      </c>
      <c r="C30" s="1" t="s">
        <v>31</v>
      </c>
      <c r="D30" s="1" t="s">
        <v>1366</v>
      </c>
      <c r="E30" s="1" t="s">
        <v>151</v>
      </c>
      <c r="F30" s="1" t="s">
        <v>15</v>
      </c>
      <c r="G30" s="1" t="s">
        <v>160</v>
      </c>
      <c r="H30" s="1" t="s">
        <v>474</v>
      </c>
      <c r="I30" s="2" t="s">
        <v>161</v>
      </c>
      <c r="J30" s="1" t="s">
        <v>928</v>
      </c>
      <c r="K30" s="2" t="s">
        <v>1461</v>
      </c>
      <c r="L30" s="1" t="s">
        <v>1274</v>
      </c>
      <c r="M30" s="29">
        <v>2</v>
      </c>
      <c r="N30" s="1" t="s">
        <v>1240</v>
      </c>
      <c r="O30" s="1" t="s">
        <v>671</v>
      </c>
      <c r="P30" s="1" t="s">
        <v>546</v>
      </c>
      <c r="Q30" s="1" t="s">
        <v>454</v>
      </c>
      <c r="R30" s="24" t="s">
        <v>161</v>
      </c>
    </row>
    <row r="31" spans="1:18" ht="39" thickBot="1" x14ac:dyDescent="0.4">
      <c r="A31" s="3" t="s">
        <v>1367</v>
      </c>
      <c r="B31" s="1" t="s">
        <v>1233</v>
      </c>
      <c r="C31" s="1" t="s">
        <v>25</v>
      </c>
      <c r="D31" s="1" t="s">
        <v>1368</v>
      </c>
      <c r="E31" s="1" t="s">
        <v>151</v>
      </c>
      <c r="F31" s="1" t="s">
        <v>15</v>
      </c>
      <c r="G31" s="1" t="s">
        <v>1369</v>
      </c>
      <c r="H31" s="1" t="s">
        <v>848</v>
      </c>
      <c r="I31" s="2" t="s">
        <v>1370</v>
      </c>
      <c r="J31" s="1" t="s">
        <v>928</v>
      </c>
      <c r="K31" s="2" t="s">
        <v>1462</v>
      </c>
      <c r="L31" s="1" t="s">
        <v>1269</v>
      </c>
      <c r="M31" s="29">
        <v>2</v>
      </c>
      <c r="N31" s="1" t="s">
        <v>1240</v>
      </c>
      <c r="O31" s="1" t="s">
        <v>972</v>
      </c>
      <c r="P31" s="1" t="s">
        <v>540</v>
      </c>
      <c r="Q31" s="1" t="s">
        <v>454</v>
      </c>
      <c r="R31" s="24" t="s">
        <v>1370</v>
      </c>
    </row>
    <row r="32" spans="1:18" ht="39" thickBot="1" x14ac:dyDescent="0.4">
      <c r="A32" s="3" t="s">
        <v>1371</v>
      </c>
      <c r="B32" s="1" t="s">
        <v>1233</v>
      </c>
      <c r="C32" s="1" t="s">
        <v>12</v>
      </c>
      <c r="D32" s="1" t="s">
        <v>1372</v>
      </c>
      <c r="E32" s="1" t="s">
        <v>172</v>
      </c>
      <c r="F32" s="1" t="s">
        <v>15</v>
      </c>
      <c r="G32" s="1" t="s">
        <v>1373</v>
      </c>
      <c r="H32" s="1" t="s">
        <v>928</v>
      </c>
      <c r="I32" s="1" t="s">
        <v>928</v>
      </c>
      <c r="J32" s="1" t="s">
        <v>928</v>
      </c>
      <c r="K32" s="2" t="s">
        <v>1463</v>
      </c>
      <c r="L32" s="1" t="s">
        <v>1279</v>
      </c>
      <c r="M32" s="29">
        <v>2</v>
      </c>
      <c r="N32" s="1" t="s">
        <v>1240</v>
      </c>
      <c r="O32" s="1" t="s">
        <v>706</v>
      </c>
      <c r="P32" s="1" t="s">
        <v>540</v>
      </c>
      <c r="Q32" s="1" t="s">
        <v>454</v>
      </c>
      <c r="R32" s="26" t="s">
        <v>1374</v>
      </c>
    </row>
    <row r="33" spans="1:18" ht="39" thickBot="1" x14ac:dyDescent="0.4">
      <c r="A33" s="3" t="s">
        <v>1375</v>
      </c>
      <c r="B33" s="1" t="s">
        <v>1233</v>
      </c>
      <c r="C33" s="1" t="s">
        <v>12</v>
      </c>
      <c r="D33" s="1" t="s">
        <v>1376</v>
      </c>
      <c r="E33" s="1" t="s">
        <v>172</v>
      </c>
      <c r="F33" s="1" t="s">
        <v>15</v>
      </c>
      <c r="G33" s="1" t="s">
        <v>1377</v>
      </c>
      <c r="H33" s="1" t="s">
        <v>928</v>
      </c>
      <c r="I33" s="1" t="s">
        <v>928</v>
      </c>
      <c r="J33" s="1" t="s">
        <v>928</v>
      </c>
      <c r="K33" s="2" t="s">
        <v>1464</v>
      </c>
      <c r="L33" s="1" t="s">
        <v>1378</v>
      </c>
      <c r="M33" s="29">
        <v>2</v>
      </c>
      <c r="N33" s="1" t="s">
        <v>1310</v>
      </c>
      <c r="O33" s="1" t="s">
        <v>972</v>
      </c>
      <c r="P33" s="1" t="s">
        <v>540</v>
      </c>
      <c r="Q33" s="1" t="s">
        <v>454</v>
      </c>
      <c r="R33" s="27" t="s">
        <v>1379</v>
      </c>
    </row>
    <row r="34" spans="1:18" ht="39" thickBot="1" x14ac:dyDescent="0.4">
      <c r="A34" s="3" t="s">
        <v>1380</v>
      </c>
      <c r="B34" s="1" t="s">
        <v>1233</v>
      </c>
      <c r="C34" s="1" t="s">
        <v>25</v>
      </c>
      <c r="D34" s="1" t="s">
        <v>1381</v>
      </c>
      <c r="E34" s="1" t="s">
        <v>172</v>
      </c>
      <c r="F34" s="1" t="s">
        <v>15</v>
      </c>
      <c r="G34" s="1" t="s">
        <v>1382</v>
      </c>
      <c r="H34" s="1" t="s">
        <v>928</v>
      </c>
      <c r="I34" s="2" t="s">
        <v>1383</v>
      </c>
      <c r="J34" s="1" t="s">
        <v>928</v>
      </c>
      <c r="K34" s="2" t="s">
        <v>1465</v>
      </c>
      <c r="L34" s="1" t="s">
        <v>1384</v>
      </c>
      <c r="M34" s="29">
        <v>3</v>
      </c>
      <c r="N34" s="1" t="s">
        <v>1343</v>
      </c>
      <c r="O34" s="1" t="s">
        <v>1385</v>
      </c>
      <c r="P34" s="1" t="s">
        <v>540</v>
      </c>
      <c r="Q34" s="1" t="s">
        <v>454</v>
      </c>
      <c r="R34" s="24" t="s">
        <v>1383</v>
      </c>
    </row>
    <row r="35" spans="1:18" ht="39" thickBot="1" x14ac:dyDescent="0.4">
      <c r="A35" s="3" t="s">
        <v>191</v>
      </c>
      <c r="B35" s="1" t="s">
        <v>1233</v>
      </c>
      <c r="C35" s="1" t="s">
        <v>12</v>
      </c>
      <c r="D35" s="1" t="s">
        <v>192</v>
      </c>
      <c r="E35" s="1" t="s">
        <v>172</v>
      </c>
      <c r="F35" s="1" t="s">
        <v>15</v>
      </c>
      <c r="G35" s="1" t="s">
        <v>193</v>
      </c>
      <c r="H35" s="1" t="s">
        <v>708</v>
      </c>
      <c r="I35" s="2" t="s">
        <v>194</v>
      </c>
      <c r="J35" s="1" t="s">
        <v>928</v>
      </c>
      <c r="K35" s="2" t="s">
        <v>1466</v>
      </c>
      <c r="L35" s="1" t="s">
        <v>1279</v>
      </c>
      <c r="M35" s="29">
        <v>2</v>
      </c>
      <c r="N35" s="1" t="s">
        <v>1240</v>
      </c>
      <c r="O35" s="1" t="s">
        <v>832</v>
      </c>
      <c r="P35" s="1" t="s">
        <v>540</v>
      </c>
      <c r="Q35" s="1" t="s">
        <v>454</v>
      </c>
      <c r="R35" s="24" t="s">
        <v>194</v>
      </c>
    </row>
    <row r="36" spans="1:18" ht="29.5" thickBot="1" x14ac:dyDescent="0.4">
      <c r="A36" s="3" t="s">
        <v>720</v>
      </c>
      <c r="B36" s="1" t="s">
        <v>1233</v>
      </c>
      <c r="C36" s="1" t="s">
        <v>12</v>
      </c>
      <c r="D36" s="1" t="s">
        <v>1386</v>
      </c>
      <c r="E36" s="1" t="s">
        <v>172</v>
      </c>
      <c r="F36" s="1" t="s">
        <v>15</v>
      </c>
      <c r="G36" s="1" t="s">
        <v>723</v>
      </c>
      <c r="H36" s="1" t="s">
        <v>928</v>
      </c>
      <c r="I36" s="1" t="s">
        <v>928</v>
      </c>
      <c r="J36" s="2" t="s">
        <v>724</v>
      </c>
      <c r="K36" s="2" t="s">
        <v>1467</v>
      </c>
      <c r="L36" s="1" t="s">
        <v>1274</v>
      </c>
      <c r="M36" s="29">
        <v>2</v>
      </c>
      <c r="N36" s="1" t="s">
        <v>1240</v>
      </c>
      <c r="O36" s="1" t="s">
        <v>1387</v>
      </c>
      <c r="P36" s="1" t="s">
        <v>546</v>
      </c>
      <c r="Q36" s="1" t="s">
        <v>454</v>
      </c>
      <c r="R36" s="24" t="s">
        <v>724</v>
      </c>
    </row>
    <row r="37" spans="1:18" ht="29.5" thickBot="1" x14ac:dyDescent="0.4">
      <c r="A37" s="3" t="s">
        <v>357</v>
      </c>
      <c r="B37" s="1" t="s">
        <v>1233</v>
      </c>
      <c r="C37" s="1" t="s">
        <v>12</v>
      </c>
      <c r="D37" s="1" t="s">
        <v>1388</v>
      </c>
      <c r="E37" s="1" t="s">
        <v>172</v>
      </c>
      <c r="F37" s="1" t="s">
        <v>15</v>
      </c>
      <c r="G37" s="1" t="s">
        <v>1377</v>
      </c>
      <c r="H37" s="1" t="s">
        <v>928</v>
      </c>
      <c r="I37" s="1" t="s">
        <v>928</v>
      </c>
      <c r="J37" s="1" t="s">
        <v>928</v>
      </c>
      <c r="K37" s="2" t="s">
        <v>1468</v>
      </c>
      <c r="L37" s="1" t="s">
        <v>1274</v>
      </c>
      <c r="M37" s="29">
        <v>2</v>
      </c>
      <c r="N37" s="1" t="s">
        <v>1240</v>
      </c>
      <c r="O37" s="1" t="s">
        <v>843</v>
      </c>
      <c r="P37" s="1" t="s">
        <v>546</v>
      </c>
      <c r="Q37" s="1" t="s">
        <v>454</v>
      </c>
      <c r="R37" s="24" t="s">
        <v>359</v>
      </c>
    </row>
    <row r="38" spans="1:18" ht="51.5" thickBot="1" x14ac:dyDescent="0.4">
      <c r="A38" s="3" t="s">
        <v>1389</v>
      </c>
      <c r="B38" s="1" t="s">
        <v>1233</v>
      </c>
      <c r="C38" s="1" t="s">
        <v>12</v>
      </c>
      <c r="D38" s="1" t="s">
        <v>1390</v>
      </c>
      <c r="E38" s="1" t="s">
        <v>197</v>
      </c>
      <c r="F38" s="1" t="s">
        <v>15</v>
      </c>
      <c r="G38" s="1" t="s">
        <v>1391</v>
      </c>
      <c r="H38" s="1" t="s">
        <v>928</v>
      </c>
      <c r="I38" s="2" t="s">
        <v>1392</v>
      </c>
      <c r="J38" s="2" t="s">
        <v>1393</v>
      </c>
      <c r="K38" s="2" t="s">
        <v>1469</v>
      </c>
      <c r="L38" s="1" t="s">
        <v>1394</v>
      </c>
      <c r="M38" s="29">
        <v>3</v>
      </c>
      <c r="N38" s="1" t="s">
        <v>1240</v>
      </c>
      <c r="O38" s="1" t="s">
        <v>832</v>
      </c>
      <c r="P38" s="1" t="s">
        <v>1242</v>
      </c>
      <c r="Q38" s="1" t="s">
        <v>454</v>
      </c>
      <c r="R38" s="26" t="s">
        <v>1374</v>
      </c>
    </row>
    <row r="39" spans="1:18" ht="44" thickBot="1" x14ac:dyDescent="0.4">
      <c r="A39" s="3" t="s">
        <v>1395</v>
      </c>
      <c r="B39" s="1" t="s">
        <v>1233</v>
      </c>
      <c r="C39" s="1" t="s">
        <v>31</v>
      </c>
      <c r="D39" s="1" t="s">
        <v>1396</v>
      </c>
      <c r="E39" s="1" t="s">
        <v>197</v>
      </c>
      <c r="F39" s="1" t="s">
        <v>15</v>
      </c>
      <c r="G39" s="1" t="s">
        <v>349</v>
      </c>
      <c r="H39" s="1" t="s">
        <v>351</v>
      </c>
      <c r="I39" s="2" t="s">
        <v>352</v>
      </c>
      <c r="J39" s="2" t="s">
        <v>1397</v>
      </c>
      <c r="K39" s="2" t="s">
        <v>1470</v>
      </c>
      <c r="L39" s="1" t="s">
        <v>1274</v>
      </c>
      <c r="M39" s="29">
        <v>2</v>
      </c>
      <c r="N39" s="1" t="s">
        <v>1240</v>
      </c>
      <c r="O39" s="1" t="s">
        <v>1387</v>
      </c>
      <c r="P39" s="1" t="s">
        <v>546</v>
      </c>
      <c r="Q39" s="1" t="s">
        <v>454</v>
      </c>
      <c r="R39" s="24" t="s">
        <v>352</v>
      </c>
    </row>
    <row r="40" spans="1:18" ht="39" thickBot="1" x14ac:dyDescent="0.4">
      <c r="A40" s="3" t="s">
        <v>1398</v>
      </c>
      <c r="B40" s="1" t="s">
        <v>1233</v>
      </c>
      <c r="C40" s="1" t="s">
        <v>12</v>
      </c>
      <c r="D40" s="1" t="s">
        <v>1399</v>
      </c>
      <c r="E40" s="1" t="s">
        <v>197</v>
      </c>
      <c r="F40" s="1" t="s">
        <v>15</v>
      </c>
      <c r="G40" s="1" t="s">
        <v>1400</v>
      </c>
      <c r="H40" s="1" t="s">
        <v>928</v>
      </c>
      <c r="I40" s="1" t="s">
        <v>928</v>
      </c>
      <c r="J40" s="1" t="s">
        <v>928</v>
      </c>
      <c r="K40" s="2" t="s">
        <v>1471</v>
      </c>
      <c r="L40" s="1" t="s">
        <v>1402</v>
      </c>
      <c r="M40" s="29">
        <v>2</v>
      </c>
      <c r="N40" s="1" t="s">
        <v>1343</v>
      </c>
      <c r="O40" s="1" t="s">
        <v>972</v>
      </c>
      <c r="P40" s="1" t="s">
        <v>546</v>
      </c>
      <c r="Q40" s="1" t="s">
        <v>454</v>
      </c>
      <c r="R40" s="24" t="s">
        <v>1401</v>
      </c>
    </row>
    <row r="41" spans="1:18" ht="39" thickBot="1" x14ac:dyDescent="0.4">
      <c r="A41" s="3" t="s">
        <v>1403</v>
      </c>
      <c r="B41" s="1" t="s">
        <v>1233</v>
      </c>
      <c r="C41" s="1" t="s">
        <v>25</v>
      </c>
      <c r="D41" s="1" t="s">
        <v>1404</v>
      </c>
      <c r="E41" s="1" t="s">
        <v>219</v>
      </c>
      <c r="F41" s="1" t="s">
        <v>15</v>
      </c>
      <c r="G41" s="1" t="s">
        <v>1405</v>
      </c>
      <c r="H41" s="1" t="s">
        <v>928</v>
      </c>
      <c r="I41" s="1" t="s">
        <v>928</v>
      </c>
      <c r="J41" s="1" t="s">
        <v>928</v>
      </c>
      <c r="K41" s="2" t="s">
        <v>1472</v>
      </c>
      <c r="L41" s="1" t="s">
        <v>1406</v>
      </c>
      <c r="M41" s="29">
        <v>2</v>
      </c>
      <c r="N41" s="1" t="s">
        <v>1240</v>
      </c>
      <c r="O41" s="1" t="s">
        <v>1089</v>
      </c>
      <c r="P41" s="1" t="s">
        <v>540</v>
      </c>
      <c r="Q41" s="1" t="s">
        <v>454</v>
      </c>
      <c r="R41" s="27" t="s">
        <v>1407</v>
      </c>
    </row>
    <row r="42" spans="1:18" ht="39" thickBot="1" x14ac:dyDescent="0.4">
      <c r="A42" s="3" t="s">
        <v>1408</v>
      </c>
      <c r="B42" s="1" t="s">
        <v>1233</v>
      </c>
      <c r="C42" s="1" t="s">
        <v>82</v>
      </c>
      <c r="D42" s="1" t="s">
        <v>1409</v>
      </c>
      <c r="E42" s="1" t="s">
        <v>219</v>
      </c>
      <c r="F42" s="1" t="s">
        <v>15</v>
      </c>
      <c r="G42" s="1" t="s">
        <v>1187</v>
      </c>
      <c r="H42" s="1" t="s">
        <v>928</v>
      </c>
      <c r="I42" s="2" t="s">
        <v>1383</v>
      </c>
      <c r="J42" s="1" t="s">
        <v>928</v>
      </c>
      <c r="K42" s="2" t="s">
        <v>1473</v>
      </c>
      <c r="L42" s="1" t="s">
        <v>1410</v>
      </c>
      <c r="M42" s="29">
        <v>2</v>
      </c>
      <c r="N42" s="1" t="s">
        <v>1248</v>
      </c>
      <c r="O42" s="1" t="s">
        <v>972</v>
      </c>
      <c r="P42" s="1" t="s">
        <v>540</v>
      </c>
      <c r="Q42" s="1" t="s">
        <v>454</v>
      </c>
      <c r="R42" s="26" t="s">
        <v>1411</v>
      </c>
    </row>
    <row r="43" spans="1:18" ht="39" thickBot="1" x14ac:dyDescent="0.4">
      <c r="A43" s="3" t="s">
        <v>1412</v>
      </c>
      <c r="B43" s="1" t="s">
        <v>1233</v>
      </c>
      <c r="C43" s="1" t="s">
        <v>82</v>
      </c>
      <c r="D43" s="1" t="s">
        <v>1413</v>
      </c>
      <c r="E43" s="1" t="s">
        <v>229</v>
      </c>
      <c r="F43" s="1" t="s">
        <v>15</v>
      </c>
      <c r="G43" s="1" t="s">
        <v>1414</v>
      </c>
      <c r="H43" s="1" t="s">
        <v>848</v>
      </c>
      <c r="I43" s="1" t="s">
        <v>928</v>
      </c>
      <c r="J43" s="1" t="s">
        <v>928</v>
      </c>
      <c r="K43" s="2" t="s">
        <v>1474</v>
      </c>
      <c r="L43" s="1" t="s">
        <v>1415</v>
      </c>
      <c r="M43" s="29">
        <v>2</v>
      </c>
      <c r="N43" s="1" t="s">
        <v>1336</v>
      </c>
      <c r="O43" s="1" t="s">
        <v>972</v>
      </c>
      <c r="P43" s="1" t="s">
        <v>546</v>
      </c>
      <c r="Q43" s="1" t="s">
        <v>454</v>
      </c>
      <c r="R43" s="27" t="s">
        <v>1407</v>
      </c>
    </row>
    <row r="44" spans="1:18" ht="39" thickBot="1" x14ac:dyDescent="0.4">
      <c r="A44" s="3" t="s">
        <v>1416</v>
      </c>
      <c r="B44" s="1" t="s">
        <v>1233</v>
      </c>
      <c r="C44" s="1" t="s">
        <v>25</v>
      </c>
      <c r="D44" s="1" t="s">
        <v>1417</v>
      </c>
      <c r="E44" s="1" t="s">
        <v>257</v>
      </c>
      <c r="F44" s="1" t="s">
        <v>15</v>
      </c>
      <c r="G44" s="1" t="s">
        <v>1418</v>
      </c>
      <c r="H44" s="1" t="s">
        <v>848</v>
      </c>
      <c r="I44" s="1" t="s">
        <v>928</v>
      </c>
      <c r="J44" s="1" t="s">
        <v>928</v>
      </c>
      <c r="K44" s="2" t="s">
        <v>1475</v>
      </c>
      <c r="L44" s="1" t="s">
        <v>1300</v>
      </c>
      <c r="M44" s="29">
        <v>2</v>
      </c>
      <c r="N44" s="1" t="s">
        <v>1310</v>
      </c>
      <c r="O44" s="1" t="s">
        <v>981</v>
      </c>
      <c r="P44" s="1" t="s">
        <v>540</v>
      </c>
      <c r="Q44" s="1" t="s">
        <v>454</v>
      </c>
      <c r="R44" s="27" t="s">
        <v>1419</v>
      </c>
    </row>
    <row r="45" spans="1:18" ht="39" thickBot="1" x14ac:dyDescent="0.4">
      <c r="A45" s="3" t="s">
        <v>1420</v>
      </c>
      <c r="B45" s="1" t="s">
        <v>1233</v>
      </c>
      <c r="C45" s="1" t="s">
        <v>25</v>
      </c>
      <c r="D45" s="1" t="s">
        <v>1421</v>
      </c>
      <c r="E45" s="1" t="s">
        <v>257</v>
      </c>
      <c r="F45" s="1" t="s">
        <v>15</v>
      </c>
      <c r="G45" s="1" t="s">
        <v>1422</v>
      </c>
      <c r="H45" s="1" t="s">
        <v>928</v>
      </c>
      <c r="I45" s="1" t="s">
        <v>928</v>
      </c>
      <c r="J45" s="1" t="s">
        <v>928</v>
      </c>
      <c r="K45" s="2" t="s">
        <v>1476</v>
      </c>
      <c r="L45" s="1" t="s">
        <v>1313</v>
      </c>
      <c r="M45" s="29">
        <v>2</v>
      </c>
      <c r="N45" s="1" t="s">
        <v>1336</v>
      </c>
      <c r="O45" s="1" t="s">
        <v>1089</v>
      </c>
      <c r="P45" s="1" t="s">
        <v>540</v>
      </c>
      <c r="Q45" s="1" t="s">
        <v>454</v>
      </c>
      <c r="R45" s="27" t="s">
        <v>1407</v>
      </c>
    </row>
    <row r="46" spans="1:18" ht="44" thickBot="1" x14ac:dyDescent="0.4">
      <c r="A46" s="3" t="s">
        <v>1423</v>
      </c>
      <c r="B46" s="1" t="s">
        <v>1233</v>
      </c>
      <c r="C46" s="1" t="s">
        <v>12</v>
      </c>
      <c r="D46" s="1" t="s">
        <v>1424</v>
      </c>
      <c r="E46" s="1" t="s">
        <v>211</v>
      </c>
      <c r="F46" s="1" t="s">
        <v>15</v>
      </c>
      <c r="G46" s="1" t="s">
        <v>1425</v>
      </c>
      <c r="H46" s="1" t="s">
        <v>1426</v>
      </c>
      <c r="I46" s="2" t="s">
        <v>1427</v>
      </c>
      <c r="J46" s="2" t="s">
        <v>858</v>
      </c>
      <c r="K46" s="2" t="s">
        <v>1477</v>
      </c>
      <c r="L46" s="1" t="s">
        <v>1323</v>
      </c>
      <c r="M46" s="29">
        <v>4</v>
      </c>
      <c r="N46" s="1" t="s">
        <v>1240</v>
      </c>
      <c r="O46" s="1" t="s">
        <v>1428</v>
      </c>
      <c r="P46" s="1" t="s">
        <v>1242</v>
      </c>
      <c r="Q46" s="1" t="s">
        <v>454</v>
      </c>
      <c r="R46" s="24" t="s">
        <v>1427</v>
      </c>
    </row>
    <row r="47" spans="1:18" ht="51.5" thickBot="1" x14ac:dyDescent="0.4">
      <c r="A47" s="7" t="s">
        <v>880</v>
      </c>
      <c r="B47" s="8" t="s">
        <v>1233</v>
      </c>
      <c r="C47" s="8" t="s">
        <v>12</v>
      </c>
      <c r="D47" s="8" t="s">
        <v>1429</v>
      </c>
      <c r="E47" s="8" t="s">
        <v>91</v>
      </c>
      <c r="F47" s="8" t="s">
        <v>15</v>
      </c>
      <c r="G47" s="8" t="s">
        <v>1187</v>
      </c>
      <c r="H47" s="8" t="s">
        <v>1430</v>
      </c>
      <c r="I47" s="8" t="s">
        <v>928</v>
      </c>
      <c r="J47" s="8" t="s">
        <v>928</v>
      </c>
      <c r="K47" s="2" t="s">
        <v>1478</v>
      </c>
      <c r="L47" s="8" t="s">
        <v>1285</v>
      </c>
      <c r="M47" s="32">
        <v>4</v>
      </c>
      <c r="N47" s="8" t="s">
        <v>1240</v>
      </c>
      <c r="O47" s="8" t="s">
        <v>1431</v>
      </c>
      <c r="P47" s="8" t="s">
        <v>1242</v>
      </c>
      <c r="Q47" s="8" t="s">
        <v>454</v>
      </c>
      <c r="R47" s="28" t="s">
        <v>1432</v>
      </c>
    </row>
    <row r="51" spans="1:2" x14ac:dyDescent="0.35">
      <c r="A51" s="23" t="s">
        <v>1229</v>
      </c>
      <c r="B51" s="23">
        <f>COUNTIF(Table6[Verification Status],"Yes")</f>
        <v>45</v>
      </c>
    </row>
    <row r="52" spans="1:2" x14ac:dyDescent="0.35">
      <c r="A52" s="23" t="s">
        <v>459</v>
      </c>
      <c r="B52" s="23">
        <f>COUNTIF(G2:G47,"N/A")</f>
        <v>0</v>
      </c>
    </row>
    <row r="53" spans="1:2" x14ac:dyDescent="0.35">
      <c r="A53" s="23" t="s">
        <v>458</v>
      </c>
      <c r="B53" s="23">
        <f>COUNTIF(H2:H47,"N/A")</f>
        <v>24</v>
      </c>
    </row>
    <row r="54" spans="1:2" x14ac:dyDescent="0.35">
      <c r="A54" s="23" t="s">
        <v>457</v>
      </c>
      <c r="B54" s="23">
        <f>COUNTIF(I2:I47,"N/A")</f>
        <v>19</v>
      </c>
    </row>
  </sheetData>
  <hyperlinks>
    <hyperlink ref="I2" r:id="rId1" xr:uid="{A9917F89-C2F7-4F05-A233-A9DBE7DF273B}"/>
    <hyperlink ref="J2" r:id="rId2" xr:uid="{D161571F-33EB-472F-AF74-20E88993692E}"/>
    <hyperlink ref="R2" r:id="rId3" xr:uid="{814FC4F4-684F-4EC1-B2AA-213FA33B9AA4}"/>
    <hyperlink ref="I3" r:id="rId4" xr:uid="{287E2B63-20E8-420F-BA45-76511FBC2539}"/>
    <hyperlink ref="R3" r:id="rId5" xr:uid="{0272C8B0-A7AC-4A99-9ABC-032EB4FB5CF1}"/>
    <hyperlink ref="I4" r:id="rId6" xr:uid="{587732DA-AE69-4755-9307-84715CDD630A}"/>
    <hyperlink ref="R4" r:id="rId7" xr:uid="{22E0E3A7-A73C-4665-8F1C-AFA54D0CD75F}"/>
    <hyperlink ref="I5" r:id="rId8" xr:uid="{D103BF40-2C91-4FE5-ABEE-EE86ED4D7D55}"/>
    <hyperlink ref="R5" r:id="rId9" xr:uid="{A8E3A643-27C4-4193-A596-82F50EB14CB6}"/>
    <hyperlink ref="I6" r:id="rId10" xr:uid="{0E36E9B1-EC0B-4669-93FC-47428049D857}"/>
    <hyperlink ref="R6" r:id="rId11" xr:uid="{EC6735C7-DEE0-414A-96CB-024C9DCD75AD}"/>
    <hyperlink ref="I7" r:id="rId12" xr:uid="{69A621DF-DB14-4A76-9C6C-B7002C98F958}"/>
    <hyperlink ref="R7" r:id="rId13" xr:uid="{0776E6C5-46CC-4249-A09C-CC6190C95556}"/>
    <hyperlink ref="R8" r:id="rId14" xr:uid="{4698311D-A9D4-4D65-86F1-9698EEDB3E1E}"/>
    <hyperlink ref="I9" r:id="rId15" xr:uid="{FA2BC01D-8DFF-44A9-B695-453F61220242}"/>
    <hyperlink ref="R9" r:id="rId16" xr:uid="{92C65294-01AB-4F95-8127-EF88E1779FDC}"/>
    <hyperlink ref="I10" r:id="rId17" xr:uid="{919E013D-E5D0-481E-9D26-047FE42BFFE4}"/>
    <hyperlink ref="J10" r:id="rId18" xr:uid="{9E9B14F3-2F06-461E-A011-7AB6513BF81E}"/>
    <hyperlink ref="R10" r:id="rId19" xr:uid="{40A40211-7B6A-4754-94A7-8F9DD567BC05}"/>
    <hyperlink ref="R11" r:id="rId20" xr:uid="{8487C58F-E072-472C-A0F1-FCB8D945F525}"/>
    <hyperlink ref="I12" r:id="rId21" xr:uid="{D9C0A3A1-AB89-49C3-8D8A-A8EA7A16CFCE}"/>
    <hyperlink ref="J12" r:id="rId22" xr:uid="{0CE15A19-0C4B-49B8-B2B3-57DEFA4CEE72}"/>
    <hyperlink ref="R12" r:id="rId23" xr:uid="{43DE9556-6852-4AB1-B6D8-3D577BCFD482}"/>
    <hyperlink ref="R13" r:id="rId24" xr:uid="{4F582FC9-78F1-48BB-8AB7-B5B0C41EE887}"/>
    <hyperlink ref="R14" r:id="rId25" xr:uid="{FCFDB789-2B97-4CF7-BFAD-73EECEC85BCA}"/>
    <hyperlink ref="I15" r:id="rId26" xr:uid="{3791C7E9-6253-41B4-80B3-30C116E21872}"/>
    <hyperlink ref="R15" r:id="rId27" xr:uid="{2D1E5347-5EF3-4196-A990-CB35A9900AA3}"/>
    <hyperlink ref="R16" r:id="rId28" xr:uid="{6C82A347-AA0E-4F69-AC18-BC8388C2CE1F}"/>
    <hyperlink ref="R17" r:id="rId29" xr:uid="{84E780CD-2DFC-492B-BE35-47D19DC6FC84}"/>
    <hyperlink ref="I18" r:id="rId30" xr:uid="{4CE4698E-A067-497D-B1D1-55AA8CE4EDE8}"/>
    <hyperlink ref="R18" r:id="rId31" xr:uid="{B8E03800-D4F8-4AB8-9D8A-63002B500281}"/>
    <hyperlink ref="I19" r:id="rId32" xr:uid="{E6D9990A-1875-4057-A5F3-C669A5C98269}"/>
    <hyperlink ref="R19" r:id="rId33" xr:uid="{86655C08-93FB-4998-82A2-41C10A366530}"/>
    <hyperlink ref="R20" r:id="rId34" xr:uid="{66F8D210-7A07-48EA-AE32-63211AF6A5EC}"/>
    <hyperlink ref="I21" r:id="rId35" xr:uid="{14092A4B-015E-4CBE-B66E-FB4A6C646CD1}"/>
    <hyperlink ref="J21" r:id="rId36" xr:uid="{2D770A18-CCC2-4670-A770-5A13E368BD13}"/>
    <hyperlink ref="R21" r:id="rId37" xr:uid="{8C1C92DD-5206-4B1F-84B6-3518728BB682}"/>
    <hyperlink ref="I22" r:id="rId38" xr:uid="{F5C7A092-3EE0-42C4-8746-15E340A518DE}"/>
    <hyperlink ref="R22" r:id="rId39" xr:uid="{0C69A31C-4758-4DCF-AD92-572E9CD0DB39}"/>
    <hyperlink ref="I23" r:id="rId40" xr:uid="{98A5A3A3-F5C3-444E-B2F7-19CA6FECD19E}"/>
    <hyperlink ref="J23" r:id="rId41" xr:uid="{5BA471F0-E89A-4A31-B90B-A877CEC1918A}"/>
    <hyperlink ref="R23" r:id="rId42" xr:uid="{04901927-38C8-4BE7-82B7-006E1CB1A718}"/>
    <hyperlink ref="I24" r:id="rId43" display="http://www.advaitsports.com/" xr:uid="{AC7A1C42-6C76-4AE6-A174-26CE8D01ADCE}"/>
    <hyperlink ref="R24" r:id="rId44" display="http://www.advaitsports.com/" xr:uid="{4ECCC627-FF5B-4D08-A164-BB7BE24C3CE8}"/>
    <hyperlink ref="I26" r:id="rId45" xr:uid="{BE08EA4E-D598-4602-BA0D-68D53EFCA472}"/>
    <hyperlink ref="R26" r:id="rId46" xr:uid="{FED1F1AC-EC0E-4227-BDA2-E61F95BB8A61}"/>
    <hyperlink ref="I27" r:id="rId47" xr:uid="{91E0A2E2-A56E-4C38-803D-0B669CF2D390}"/>
    <hyperlink ref="J27" r:id="rId48" xr:uid="{D719580A-5D04-40FC-A3E9-CA23A1F2E0EF}"/>
    <hyperlink ref="R27" r:id="rId49" xr:uid="{1ADDAD5D-A34E-46BE-B13A-39232CE09AF0}"/>
    <hyperlink ref="R28" r:id="rId50" xr:uid="{2651DA27-D1DD-4260-8EC6-38908AB56E7D}"/>
    <hyperlink ref="I29" r:id="rId51" xr:uid="{ED630ABC-7E05-44DB-BBCD-EFBBA56E3FB9}"/>
    <hyperlink ref="J29" r:id="rId52" xr:uid="{5E63C846-0EEC-4D8D-9210-2E16EDCAED2C}"/>
    <hyperlink ref="R29" r:id="rId53" xr:uid="{E2CF96FA-BC1A-449F-9994-51F78980936B}"/>
    <hyperlink ref="I30" r:id="rId54" xr:uid="{5CA81E71-A723-4F5C-B663-D4219B4ECFEA}"/>
    <hyperlink ref="R30" r:id="rId55" xr:uid="{C8412E8C-1A72-4D91-BB0D-EA36A1DD68CE}"/>
    <hyperlink ref="I31" r:id="rId56" display="https://ahmedabadcity.gov.in/" xr:uid="{2689DE59-BEED-47B0-B5C2-E709C1B3758B}"/>
    <hyperlink ref="R31" r:id="rId57" display="https://ahmedabadcity.gov.in/" xr:uid="{3CDA9191-4831-4863-A3C0-243939CFBBC8}"/>
    <hyperlink ref="I34" r:id="rId58" xr:uid="{D5C5D7D8-2380-4B6A-9021-2BCE7605D5A3}"/>
    <hyperlink ref="R34" r:id="rId59" xr:uid="{2243DC47-D57D-4A05-9213-A96CC077D26C}"/>
    <hyperlink ref="I35" r:id="rId60" xr:uid="{B2E3638D-8F52-4F58-B730-9DC3814837E4}"/>
    <hyperlink ref="R35" r:id="rId61" xr:uid="{A64C5B6C-726C-4CDD-9A02-F1C15A9FFCCE}"/>
    <hyperlink ref="J36" r:id="rId62" xr:uid="{7C6FAA74-327C-495C-AE65-16A26EA1ECDD}"/>
    <hyperlink ref="R36" r:id="rId63" xr:uid="{23CA9266-2EA9-42C7-99B2-7814625F610A}"/>
    <hyperlink ref="R37" r:id="rId64" xr:uid="{C3A193AA-F6E1-450C-BA33-B72CA17E94B6}"/>
    <hyperlink ref="I38" r:id="rId65" xr:uid="{077A0CD4-0A06-4F59-86DA-249737D44C05}"/>
    <hyperlink ref="J38" r:id="rId66" xr:uid="{08837397-A89F-4E93-9CA5-05018F897414}"/>
    <hyperlink ref="I39" r:id="rId67" xr:uid="{A2CD4388-F4F6-4049-B6D0-67ABFCFD961D}"/>
    <hyperlink ref="J39" r:id="rId68" xr:uid="{963D80FC-DD86-4460-9792-31E6B6EF0E21}"/>
    <hyperlink ref="R39" r:id="rId69" xr:uid="{D399693F-F4A8-4D04-AC0C-55359C8E0043}"/>
    <hyperlink ref="R40" r:id="rId70" xr:uid="{5E34BD86-357A-49C0-A59B-05A50C4F288C}"/>
    <hyperlink ref="I42" r:id="rId71" xr:uid="{7303DC66-C183-4BE3-98B4-D8836F59BB4A}"/>
    <hyperlink ref="I46" r:id="rId72" xr:uid="{43B27403-70EC-41EE-99BA-E3D3124D5F09}"/>
    <hyperlink ref="J46" r:id="rId73" xr:uid="{CE66BA7A-A4B6-4588-8CF7-4AA038780165}"/>
    <hyperlink ref="R46" r:id="rId74" xr:uid="{629B80B1-E91C-488D-B412-78D8EF3C92D1}"/>
    <hyperlink ref="K2" r:id="rId75" xr:uid="{70CED381-590E-47CC-9966-97DE8E0E873D}"/>
    <hyperlink ref="K3" r:id="rId76" xr:uid="{691FD68B-266D-49D1-8124-223DAF8304F2}"/>
    <hyperlink ref="K4" r:id="rId77" xr:uid="{813A89C3-0A7B-4FCB-A347-D9E62FBAD36F}"/>
    <hyperlink ref="K5" r:id="rId78" xr:uid="{DBA59C54-3E3B-44BE-B7D4-F8E16F18521E}"/>
    <hyperlink ref="K6" r:id="rId79" xr:uid="{86ABB900-C5C0-451A-8FC3-A4A16D05CB5D}"/>
    <hyperlink ref="K7" r:id="rId80" xr:uid="{1880778C-B6B8-4B34-AF9C-7F864D1A9534}"/>
    <hyperlink ref="K8" r:id="rId81" xr:uid="{9ABD171D-3232-4A7A-9528-A623BBED22E3}"/>
    <hyperlink ref="K9" r:id="rId82" xr:uid="{91CD165D-437B-4FB4-BEF6-CF7F76841DFF}"/>
    <hyperlink ref="K10" r:id="rId83" xr:uid="{238E7835-E0FD-4545-87E4-7FF2E35464CB}"/>
    <hyperlink ref="K11" r:id="rId84" xr:uid="{6AA16D0E-A99D-47C0-9FB5-0C01ADA9C698}"/>
    <hyperlink ref="K12" r:id="rId85" xr:uid="{6D2CC368-1FBF-4C28-B963-1AF33479D440}"/>
    <hyperlink ref="K13" r:id="rId86" xr:uid="{2B692736-6C31-4C77-BBFD-953D728436E7}"/>
    <hyperlink ref="K14" r:id="rId87" xr:uid="{742B378C-4F17-4433-B228-29B177D23D2D}"/>
    <hyperlink ref="K15" r:id="rId88" xr:uid="{FF0E6DA4-E0F8-4AF1-919C-489643076672}"/>
    <hyperlink ref="K16" r:id="rId89" xr:uid="{1AA7E29F-53DB-4CD9-B7EE-4CCDF6662D81}"/>
    <hyperlink ref="K17" r:id="rId90" xr:uid="{45B5077F-AE03-463A-80B1-4A3DF491B450}"/>
    <hyperlink ref="K18" r:id="rId91" xr:uid="{8D4AB8EF-2887-41BA-B2BA-CA193BC8F560}"/>
    <hyperlink ref="K19" r:id="rId92" xr:uid="{4EAA7847-C935-4538-93D1-AEBB2B72B56E}"/>
    <hyperlink ref="K20" r:id="rId93" xr:uid="{268E4289-E2B7-471A-BB44-79BE39F53949}"/>
    <hyperlink ref="K21" r:id="rId94" xr:uid="{A306A2F5-9295-4965-B596-27F0AD6AD780}"/>
    <hyperlink ref="K22" r:id="rId95" xr:uid="{FDFA0D09-29AC-418A-B85C-4B975635B857}"/>
    <hyperlink ref="K23" r:id="rId96" xr:uid="{046D7250-D9D3-42A6-80D0-EEA8272A72C6}"/>
    <hyperlink ref="K24" r:id="rId97" xr:uid="{054DBB88-2086-4C35-B702-CCCF398AF087}"/>
    <hyperlink ref="K25" r:id="rId98" xr:uid="{B3FA5AEA-88BE-496C-87E5-A5D284E86B2E}"/>
    <hyperlink ref="K26" r:id="rId99" xr:uid="{1841B29D-8B18-4B7B-9802-CBB5812C28C3}"/>
    <hyperlink ref="K27" r:id="rId100" xr:uid="{E375A75C-818B-429C-81DC-00DA99541CC5}"/>
    <hyperlink ref="K28" r:id="rId101" xr:uid="{F2DFBD93-0BB9-403B-A2DE-76F052D4EB35}"/>
    <hyperlink ref="K29" r:id="rId102" xr:uid="{1AB6F83C-6F0C-474C-8393-9FAB90F0401A}"/>
    <hyperlink ref="K30" r:id="rId103" xr:uid="{93838673-C093-4453-8C61-572894226DC7}"/>
    <hyperlink ref="K31" r:id="rId104" xr:uid="{0034FC34-5E3C-4027-82D7-18207ADBA0B3}"/>
    <hyperlink ref="K32" r:id="rId105" xr:uid="{834369E9-CA22-47E6-AFEB-98A2183BEEC7}"/>
    <hyperlink ref="K33" r:id="rId106" xr:uid="{BDF48A6F-08E8-4F83-97DD-B1A9ED189787}"/>
    <hyperlink ref="K34" r:id="rId107" xr:uid="{3560BF15-C44B-4D2E-9F12-ABD761109656}"/>
    <hyperlink ref="K35" r:id="rId108" xr:uid="{BE09C6A6-536F-4D9D-B8C0-8E305DB03AA5}"/>
    <hyperlink ref="K36" r:id="rId109" xr:uid="{668395C8-5AEF-4A4F-8AC1-E9A0CB8B6014}"/>
    <hyperlink ref="K37" r:id="rId110" xr:uid="{E8A0222F-DFB8-4E62-AC92-D6C0AD96D2B5}"/>
    <hyperlink ref="K38" r:id="rId111" xr:uid="{47422CBB-7FF9-41DE-A143-D1DAA6F94675}"/>
    <hyperlink ref="K39" r:id="rId112" xr:uid="{FE99F4FD-8A13-4575-AE29-DE22FB72DCF8}"/>
    <hyperlink ref="K40" r:id="rId113" xr:uid="{97B7453F-8029-4EC0-A4CC-B775B8E2B473}"/>
    <hyperlink ref="K41" r:id="rId114" xr:uid="{AEA84F5B-B658-4B69-A721-B3761CACCDDD}"/>
    <hyperlink ref="K42" r:id="rId115" xr:uid="{677C599F-5BE2-4BA2-9EE0-B646B9CB80EF}"/>
    <hyperlink ref="K43" r:id="rId116" xr:uid="{B9A74FFE-22F3-485E-B51C-76C1252416B0}"/>
    <hyperlink ref="K44" r:id="rId117" xr:uid="{065F2964-AEA2-4C9C-B79E-C34622D1F905}"/>
    <hyperlink ref="K45" r:id="rId118" xr:uid="{0FDFE002-72CC-4ABF-B73F-109286100F6C}"/>
    <hyperlink ref="K46" r:id="rId119" xr:uid="{FAE489E1-FF88-4F23-987C-604586BBE379}"/>
    <hyperlink ref="K47" r:id="rId120" xr:uid="{E83904C6-98B9-4CBB-AD50-E4DBF7C8900C}"/>
  </hyperlinks>
  <pageMargins left="0.7" right="0.7" top="0.75" bottom="0.75" header="0.3" footer="0.3"/>
  <tableParts count="1">
    <tablePart r:id="rId12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5161-125C-444F-BFF7-529AF716D8A0}">
  <dimension ref="A1:Q39"/>
  <sheetViews>
    <sheetView workbookViewId="0">
      <selection activeCell="B36" sqref="B36"/>
    </sheetView>
  </sheetViews>
  <sheetFormatPr defaultRowHeight="14.5" x14ac:dyDescent="0.35"/>
  <cols>
    <col min="1" max="1" width="26.1796875" customWidth="1"/>
    <col min="2" max="2" width="8.6328125" customWidth="1"/>
    <col min="3" max="3" width="14.81640625" customWidth="1"/>
    <col min="4" max="4" width="35.1796875" customWidth="1"/>
    <col min="5" max="5" width="14.90625" customWidth="1"/>
    <col min="6" max="6" width="11.1796875" customWidth="1"/>
    <col min="7" max="7" width="15.7265625" customWidth="1"/>
    <col min="8" max="8" width="26.08984375" customWidth="1"/>
    <col min="9" max="10" width="26" customWidth="1"/>
    <col min="11" max="11" width="34.08984375" customWidth="1"/>
    <col min="12" max="12" width="23.7265625" customWidth="1"/>
    <col min="13" max="13" width="17.81640625" customWidth="1"/>
    <col min="14" max="14" width="14" customWidth="1"/>
    <col min="15" max="15" width="16.36328125" customWidth="1"/>
    <col min="16" max="16" width="17.26953125" customWidth="1"/>
    <col min="17" max="17" width="28.7265625" customWidth="1"/>
  </cols>
  <sheetData>
    <row r="1" spans="1:17" ht="1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283</v>
      </c>
      <c r="I1" s="5" t="s">
        <v>485</v>
      </c>
      <c r="J1" s="5" t="s">
        <v>486</v>
      </c>
      <c r="K1" s="1" t="s">
        <v>7</v>
      </c>
      <c r="L1" s="5" t="s">
        <v>487</v>
      </c>
      <c r="M1" s="5" t="s">
        <v>1549</v>
      </c>
      <c r="N1" s="5" t="s">
        <v>488</v>
      </c>
      <c r="O1" s="5" t="s">
        <v>489</v>
      </c>
      <c r="P1" s="5" t="s">
        <v>8</v>
      </c>
      <c r="Q1" s="6" t="s">
        <v>9</v>
      </c>
    </row>
    <row r="2" spans="1:17" ht="51.5" thickBot="1" x14ac:dyDescent="0.4">
      <c r="A2" s="3" t="s">
        <v>1550</v>
      </c>
      <c r="B2" s="1" t="s">
        <v>1551</v>
      </c>
      <c r="C2" s="1" t="s">
        <v>12</v>
      </c>
      <c r="D2" s="1" t="s">
        <v>1552</v>
      </c>
      <c r="E2" s="1" t="s">
        <v>72</v>
      </c>
      <c r="F2" s="1" t="s">
        <v>15</v>
      </c>
      <c r="G2" s="1" t="s">
        <v>1553</v>
      </c>
      <c r="H2" s="1" t="s">
        <v>1554</v>
      </c>
      <c r="I2" s="2" t="s">
        <v>1555</v>
      </c>
      <c r="J2" s="2" t="s">
        <v>1556</v>
      </c>
      <c r="K2" s="2" t="s">
        <v>1691</v>
      </c>
      <c r="L2" s="1" t="s">
        <v>1557</v>
      </c>
      <c r="M2" s="1" t="s">
        <v>1558</v>
      </c>
      <c r="N2" s="1" t="s">
        <v>1559</v>
      </c>
      <c r="O2" s="1" t="s">
        <v>1560</v>
      </c>
      <c r="P2" s="1" t="s">
        <v>454</v>
      </c>
      <c r="Q2" s="24" t="s">
        <v>1555</v>
      </c>
    </row>
    <row r="3" spans="1:17" ht="44" thickBot="1" x14ac:dyDescent="0.4">
      <c r="A3" s="3" t="s">
        <v>35</v>
      </c>
      <c r="B3" s="1" t="s">
        <v>1551</v>
      </c>
      <c r="C3" s="1" t="s">
        <v>12</v>
      </c>
      <c r="D3" s="1" t="s">
        <v>1561</v>
      </c>
      <c r="E3" s="1" t="s">
        <v>37</v>
      </c>
      <c r="F3" s="1" t="s">
        <v>15</v>
      </c>
      <c r="G3" s="1" t="s">
        <v>38</v>
      </c>
      <c r="H3" s="1" t="s">
        <v>928</v>
      </c>
      <c r="I3" s="2" t="s">
        <v>39</v>
      </c>
      <c r="J3" s="1" t="s">
        <v>928</v>
      </c>
      <c r="K3" s="2" t="s">
        <v>1443</v>
      </c>
      <c r="L3" s="1" t="s">
        <v>1562</v>
      </c>
      <c r="M3" s="1" t="s">
        <v>1558</v>
      </c>
      <c r="N3" s="1" t="s">
        <v>1563</v>
      </c>
      <c r="O3" s="1" t="s">
        <v>1564</v>
      </c>
      <c r="P3" s="1" t="s">
        <v>454</v>
      </c>
      <c r="Q3" s="24" t="s">
        <v>39</v>
      </c>
    </row>
    <row r="4" spans="1:17" ht="44" thickBot="1" x14ac:dyDescent="0.4">
      <c r="A4" s="3" t="s">
        <v>132</v>
      </c>
      <c r="B4" s="1" t="s">
        <v>1551</v>
      </c>
      <c r="C4" s="1" t="s">
        <v>12</v>
      </c>
      <c r="D4" s="1" t="s">
        <v>1565</v>
      </c>
      <c r="E4" s="1" t="s">
        <v>117</v>
      </c>
      <c r="F4" s="1" t="s">
        <v>15</v>
      </c>
      <c r="G4" s="1" t="s">
        <v>134</v>
      </c>
      <c r="H4" s="1" t="s">
        <v>928</v>
      </c>
      <c r="I4" s="1" t="s">
        <v>928</v>
      </c>
      <c r="J4" s="2" t="s">
        <v>135</v>
      </c>
      <c r="K4" s="2" t="s">
        <v>1541</v>
      </c>
      <c r="L4" s="1" t="s">
        <v>1566</v>
      </c>
      <c r="M4" s="1" t="s">
        <v>1558</v>
      </c>
      <c r="N4" s="1" t="s">
        <v>1567</v>
      </c>
      <c r="O4" s="1" t="s">
        <v>1564</v>
      </c>
      <c r="P4" s="1" t="s">
        <v>454</v>
      </c>
      <c r="Q4" s="24" t="s">
        <v>135</v>
      </c>
    </row>
    <row r="5" spans="1:17" ht="44" thickBot="1" x14ac:dyDescent="0.4">
      <c r="A5" s="3" t="s">
        <v>1352</v>
      </c>
      <c r="B5" s="1" t="s">
        <v>1551</v>
      </c>
      <c r="C5" s="1" t="s">
        <v>12</v>
      </c>
      <c r="D5" s="1" t="s">
        <v>1568</v>
      </c>
      <c r="E5" s="1" t="s">
        <v>122</v>
      </c>
      <c r="F5" s="1" t="s">
        <v>15</v>
      </c>
      <c r="G5" s="1" t="s">
        <v>42</v>
      </c>
      <c r="H5" s="1" t="s">
        <v>465</v>
      </c>
      <c r="I5" s="2" t="s">
        <v>43</v>
      </c>
      <c r="J5" s="1" t="s">
        <v>928</v>
      </c>
      <c r="K5" s="2" t="s">
        <v>1457</v>
      </c>
      <c r="L5" s="1" t="s">
        <v>1569</v>
      </c>
      <c r="M5" s="1" t="s">
        <v>1558</v>
      </c>
      <c r="N5" s="1" t="s">
        <v>781</v>
      </c>
      <c r="O5" s="1" t="s">
        <v>1564</v>
      </c>
      <c r="P5" s="1" t="s">
        <v>454</v>
      </c>
      <c r="Q5" s="24" t="s">
        <v>43</v>
      </c>
    </row>
    <row r="6" spans="1:17" ht="39" thickBot="1" x14ac:dyDescent="0.4">
      <c r="A6" s="3" t="s">
        <v>1570</v>
      </c>
      <c r="B6" s="1" t="s">
        <v>1551</v>
      </c>
      <c r="C6" s="1" t="s">
        <v>12</v>
      </c>
      <c r="D6" s="1" t="s">
        <v>1571</v>
      </c>
      <c r="E6" s="1" t="s">
        <v>51</v>
      </c>
      <c r="F6" s="1" t="s">
        <v>15</v>
      </c>
      <c r="G6" s="1" t="s">
        <v>42</v>
      </c>
      <c r="H6" s="1" t="s">
        <v>465</v>
      </c>
      <c r="I6" s="2" t="s">
        <v>43</v>
      </c>
      <c r="J6" s="1" t="s">
        <v>928</v>
      </c>
      <c r="K6" s="2" t="s">
        <v>1523</v>
      </c>
      <c r="L6" s="1" t="s">
        <v>1572</v>
      </c>
      <c r="M6" s="1" t="s">
        <v>1573</v>
      </c>
      <c r="N6" s="1" t="s">
        <v>781</v>
      </c>
      <c r="O6" s="1" t="s">
        <v>1564</v>
      </c>
      <c r="P6" s="1" t="s">
        <v>454</v>
      </c>
      <c r="Q6" s="24" t="s">
        <v>43</v>
      </c>
    </row>
    <row r="7" spans="1:17" ht="44" thickBot="1" x14ac:dyDescent="0.4">
      <c r="A7" s="3" t="s">
        <v>1574</v>
      </c>
      <c r="B7" s="1" t="s">
        <v>1551</v>
      </c>
      <c r="C7" s="1" t="s">
        <v>12</v>
      </c>
      <c r="D7" s="1" t="s">
        <v>1575</v>
      </c>
      <c r="E7" s="1" t="s">
        <v>1576</v>
      </c>
      <c r="F7" s="1" t="s">
        <v>15</v>
      </c>
      <c r="G7" s="1" t="s">
        <v>42</v>
      </c>
      <c r="H7" s="1" t="s">
        <v>465</v>
      </c>
      <c r="I7" s="2" t="s">
        <v>43</v>
      </c>
      <c r="J7" s="1" t="s">
        <v>928</v>
      </c>
      <c r="K7" s="2" t="s">
        <v>1692</v>
      </c>
      <c r="L7" s="1" t="s">
        <v>1577</v>
      </c>
      <c r="M7" s="1" t="s">
        <v>1558</v>
      </c>
      <c r="N7" s="1" t="s">
        <v>781</v>
      </c>
      <c r="O7" s="1" t="s">
        <v>1564</v>
      </c>
      <c r="P7" s="1" t="s">
        <v>454</v>
      </c>
      <c r="Q7" s="24" t="s">
        <v>43</v>
      </c>
    </row>
    <row r="8" spans="1:17" ht="44" thickBot="1" x14ac:dyDescent="0.4">
      <c r="A8" s="3" t="s">
        <v>81</v>
      </c>
      <c r="B8" s="1" t="s">
        <v>1551</v>
      </c>
      <c r="C8" s="1" t="s">
        <v>12</v>
      </c>
      <c r="D8" s="1" t="s">
        <v>1578</v>
      </c>
      <c r="E8" s="1" t="s">
        <v>78</v>
      </c>
      <c r="F8" s="1" t="s">
        <v>15</v>
      </c>
      <c r="G8" s="1" t="s">
        <v>84</v>
      </c>
      <c r="H8" s="1" t="s">
        <v>928</v>
      </c>
      <c r="I8" s="1" t="s">
        <v>928</v>
      </c>
      <c r="J8" s="1" t="s">
        <v>928</v>
      </c>
      <c r="K8" s="2" t="s">
        <v>1451</v>
      </c>
      <c r="L8" s="1" t="s">
        <v>1579</v>
      </c>
      <c r="M8" s="1" t="s">
        <v>1558</v>
      </c>
      <c r="N8" s="1" t="s">
        <v>972</v>
      </c>
      <c r="O8" s="1" t="s">
        <v>1580</v>
      </c>
      <c r="P8" s="1" t="s">
        <v>454</v>
      </c>
      <c r="Q8" s="24" t="s">
        <v>1581</v>
      </c>
    </row>
    <row r="9" spans="1:17" ht="44" thickBot="1" x14ac:dyDescent="0.4">
      <c r="A9" s="3" t="s">
        <v>844</v>
      </c>
      <c r="B9" s="1" t="s">
        <v>1551</v>
      </c>
      <c r="C9" s="1" t="s">
        <v>25</v>
      </c>
      <c r="D9" s="1" t="s">
        <v>1582</v>
      </c>
      <c r="E9" s="1" t="s">
        <v>276</v>
      </c>
      <c r="F9" s="1" t="s">
        <v>15</v>
      </c>
      <c r="G9" s="1" t="s">
        <v>928</v>
      </c>
      <c r="H9" s="1" t="s">
        <v>928</v>
      </c>
      <c r="I9" s="2" t="s">
        <v>407</v>
      </c>
      <c r="J9" s="1" t="s">
        <v>928</v>
      </c>
      <c r="K9" s="2" t="s">
        <v>1545</v>
      </c>
      <c r="L9" s="1" t="s">
        <v>1584</v>
      </c>
      <c r="M9" s="1" t="s">
        <v>1558</v>
      </c>
      <c r="N9" s="1" t="s">
        <v>972</v>
      </c>
      <c r="O9" s="1" t="s">
        <v>1580</v>
      </c>
      <c r="P9" s="1" t="s">
        <v>454</v>
      </c>
      <c r="Q9" s="24" t="s">
        <v>1583</v>
      </c>
    </row>
    <row r="10" spans="1:17" ht="44" thickBot="1" x14ac:dyDescent="0.4">
      <c r="A10" s="3" t="s">
        <v>154</v>
      </c>
      <c r="B10" s="1" t="s">
        <v>1551</v>
      </c>
      <c r="C10" s="1" t="s">
        <v>82</v>
      </c>
      <c r="D10" s="1" t="s">
        <v>360</v>
      </c>
      <c r="E10" s="1" t="s">
        <v>151</v>
      </c>
      <c r="F10" s="1" t="s">
        <v>15</v>
      </c>
      <c r="G10" s="1" t="s">
        <v>928</v>
      </c>
      <c r="H10" s="1" t="s">
        <v>928</v>
      </c>
      <c r="I10" s="1" t="s">
        <v>928</v>
      </c>
      <c r="J10" s="1" t="s">
        <v>928</v>
      </c>
      <c r="K10" s="2" t="s">
        <v>1544</v>
      </c>
      <c r="L10" s="1" t="s">
        <v>1586</v>
      </c>
      <c r="M10" s="1" t="s">
        <v>1558</v>
      </c>
      <c r="N10" s="1" t="s">
        <v>791</v>
      </c>
      <c r="O10" s="1" t="s">
        <v>1587</v>
      </c>
      <c r="P10" s="1" t="s">
        <v>454</v>
      </c>
      <c r="Q10" s="24" t="s">
        <v>1585</v>
      </c>
    </row>
    <row r="11" spans="1:17" ht="44" thickBot="1" x14ac:dyDescent="0.4">
      <c r="A11" s="3" t="s">
        <v>720</v>
      </c>
      <c r="B11" s="1" t="s">
        <v>1551</v>
      </c>
      <c r="C11" s="1" t="s">
        <v>12</v>
      </c>
      <c r="D11" s="1" t="s">
        <v>1386</v>
      </c>
      <c r="E11" s="1" t="s">
        <v>172</v>
      </c>
      <c r="F11" s="1" t="s">
        <v>15</v>
      </c>
      <c r="G11" s="1" t="s">
        <v>723</v>
      </c>
      <c r="H11" s="1" t="s">
        <v>928</v>
      </c>
      <c r="I11" s="1" t="s">
        <v>928</v>
      </c>
      <c r="J11" s="2" t="s">
        <v>724</v>
      </c>
      <c r="K11" s="2" t="s">
        <v>1467</v>
      </c>
      <c r="L11" s="1" t="s">
        <v>648</v>
      </c>
      <c r="M11" s="1" t="s">
        <v>1558</v>
      </c>
      <c r="N11" s="1" t="s">
        <v>981</v>
      </c>
      <c r="O11" s="1" t="s">
        <v>1587</v>
      </c>
      <c r="P11" s="1" t="s">
        <v>454</v>
      </c>
      <c r="Q11" s="24" t="s">
        <v>724</v>
      </c>
    </row>
    <row r="12" spans="1:17" ht="44" thickBot="1" x14ac:dyDescent="0.4">
      <c r="A12" s="3" t="s">
        <v>158</v>
      </c>
      <c r="B12" s="1" t="s">
        <v>1551</v>
      </c>
      <c r="C12" s="1" t="s">
        <v>31</v>
      </c>
      <c r="D12" s="1" t="s">
        <v>1588</v>
      </c>
      <c r="E12" s="1" t="s">
        <v>151</v>
      </c>
      <c r="F12" s="1" t="s">
        <v>15</v>
      </c>
      <c r="G12" s="1" t="s">
        <v>160</v>
      </c>
      <c r="H12" s="1" t="s">
        <v>928</v>
      </c>
      <c r="I12" s="2" t="s">
        <v>161</v>
      </c>
      <c r="J12" s="1" t="s">
        <v>928</v>
      </c>
      <c r="K12" s="2" t="s">
        <v>1461</v>
      </c>
      <c r="L12" s="1" t="s">
        <v>1589</v>
      </c>
      <c r="M12" s="1" t="s">
        <v>1558</v>
      </c>
      <c r="N12" s="1" t="s">
        <v>972</v>
      </c>
      <c r="O12" s="1" t="s">
        <v>1580</v>
      </c>
      <c r="P12" s="1" t="s">
        <v>454</v>
      </c>
      <c r="Q12" s="24" t="s">
        <v>161</v>
      </c>
    </row>
    <row r="13" spans="1:17" ht="51.5" thickBot="1" x14ac:dyDescent="0.4">
      <c r="A13" s="3" t="s">
        <v>727</v>
      </c>
      <c r="B13" s="1" t="s">
        <v>1551</v>
      </c>
      <c r="C13" s="1" t="s">
        <v>12</v>
      </c>
      <c r="D13" s="1" t="s">
        <v>1590</v>
      </c>
      <c r="E13" s="1" t="s">
        <v>172</v>
      </c>
      <c r="F13" s="1" t="s">
        <v>15</v>
      </c>
      <c r="G13" s="1" t="s">
        <v>729</v>
      </c>
      <c r="H13" s="1" t="s">
        <v>928</v>
      </c>
      <c r="I13" s="1" t="s">
        <v>928</v>
      </c>
      <c r="J13" s="1" t="s">
        <v>928</v>
      </c>
      <c r="K13" s="2" t="s">
        <v>1693</v>
      </c>
      <c r="L13" s="1" t="s">
        <v>717</v>
      </c>
      <c r="M13" s="1" t="s">
        <v>1558</v>
      </c>
      <c r="N13" s="1" t="s">
        <v>596</v>
      </c>
      <c r="O13" s="1" t="s">
        <v>1587</v>
      </c>
      <c r="P13" s="1" t="s">
        <v>454</v>
      </c>
      <c r="Q13" s="24" t="s">
        <v>1591</v>
      </c>
    </row>
    <row r="14" spans="1:17" ht="51.5" thickBot="1" x14ac:dyDescent="0.4">
      <c r="A14" s="3" t="s">
        <v>140</v>
      </c>
      <c r="B14" s="1" t="s">
        <v>1551</v>
      </c>
      <c r="C14" s="1" t="s">
        <v>12</v>
      </c>
      <c r="D14" s="1" t="s">
        <v>1592</v>
      </c>
      <c r="E14" s="1" t="s">
        <v>142</v>
      </c>
      <c r="F14" s="1" t="s">
        <v>15</v>
      </c>
      <c r="G14" s="1" t="s">
        <v>143</v>
      </c>
      <c r="H14" s="1" t="s">
        <v>928</v>
      </c>
      <c r="I14" s="1" t="s">
        <v>928</v>
      </c>
      <c r="J14" s="1" t="s">
        <v>928</v>
      </c>
      <c r="K14" s="2" t="s">
        <v>1459</v>
      </c>
      <c r="L14" s="1" t="s">
        <v>831</v>
      </c>
      <c r="M14" s="1" t="s">
        <v>1558</v>
      </c>
      <c r="N14" s="1" t="s">
        <v>840</v>
      </c>
      <c r="O14" s="1" t="s">
        <v>1587</v>
      </c>
      <c r="P14" s="1" t="s">
        <v>454</v>
      </c>
      <c r="Q14" s="24" t="s">
        <v>1593</v>
      </c>
    </row>
    <row r="15" spans="1:17" ht="44" thickBot="1" x14ac:dyDescent="0.4">
      <c r="A15" s="3" t="s">
        <v>1594</v>
      </c>
      <c r="B15" s="1" t="s">
        <v>1551</v>
      </c>
      <c r="C15" s="1" t="s">
        <v>82</v>
      </c>
      <c r="D15" s="1" t="s">
        <v>1396</v>
      </c>
      <c r="E15" s="1" t="s">
        <v>197</v>
      </c>
      <c r="F15" s="1" t="s">
        <v>15</v>
      </c>
      <c r="G15" s="1" t="s">
        <v>1595</v>
      </c>
      <c r="H15" s="1" t="s">
        <v>928</v>
      </c>
      <c r="I15" s="2" t="s">
        <v>1596</v>
      </c>
      <c r="J15" s="1" t="s">
        <v>928</v>
      </c>
      <c r="K15" s="2" t="s">
        <v>1694</v>
      </c>
      <c r="L15" s="1" t="s">
        <v>1597</v>
      </c>
      <c r="M15" s="1" t="s">
        <v>1598</v>
      </c>
      <c r="N15" s="1" t="s">
        <v>791</v>
      </c>
      <c r="O15" s="1" t="s">
        <v>1587</v>
      </c>
      <c r="P15" s="1" t="s">
        <v>454</v>
      </c>
      <c r="Q15" s="24" t="s">
        <v>1596</v>
      </c>
    </row>
    <row r="16" spans="1:17" ht="44" thickBot="1" x14ac:dyDescent="0.4">
      <c r="A16" s="3" t="s">
        <v>1599</v>
      </c>
      <c r="B16" s="1" t="s">
        <v>1551</v>
      </c>
      <c r="C16" s="1" t="s">
        <v>25</v>
      </c>
      <c r="D16" s="1" t="s">
        <v>1600</v>
      </c>
      <c r="E16" s="1" t="s">
        <v>770</v>
      </c>
      <c r="F16" s="1" t="s">
        <v>15</v>
      </c>
      <c r="G16" s="1" t="s">
        <v>405</v>
      </c>
      <c r="H16" s="1" t="s">
        <v>928</v>
      </c>
      <c r="I16" s="2" t="s">
        <v>407</v>
      </c>
      <c r="J16" s="1" t="s">
        <v>928</v>
      </c>
      <c r="K16" s="2" t="s">
        <v>1519</v>
      </c>
      <c r="L16" s="1" t="s">
        <v>1584</v>
      </c>
      <c r="M16" s="1" t="s">
        <v>1573</v>
      </c>
      <c r="N16" s="1" t="s">
        <v>1601</v>
      </c>
      <c r="O16" s="1" t="s">
        <v>1587</v>
      </c>
      <c r="P16" s="1" t="s">
        <v>454</v>
      </c>
      <c r="Q16" s="24" t="s">
        <v>407</v>
      </c>
    </row>
    <row r="17" spans="1:17" ht="44" thickBot="1" x14ac:dyDescent="0.4">
      <c r="A17" s="3" t="s">
        <v>1602</v>
      </c>
      <c r="B17" s="1" t="s">
        <v>1551</v>
      </c>
      <c r="C17" s="1" t="s">
        <v>82</v>
      </c>
      <c r="D17" s="1" t="s">
        <v>1603</v>
      </c>
      <c r="E17" s="1" t="s">
        <v>219</v>
      </c>
      <c r="F17" s="1" t="s">
        <v>15</v>
      </c>
      <c r="G17" s="1" t="s">
        <v>797</v>
      </c>
      <c r="H17" s="1" t="s">
        <v>798</v>
      </c>
      <c r="I17" s="2" t="s">
        <v>1604</v>
      </c>
      <c r="J17" s="2" t="s">
        <v>1605</v>
      </c>
      <c r="K17" s="2" t="s">
        <v>1498</v>
      </c>
      <c r="L17" s="1" t="s">
        <v>1606</v>
      </c>
      <c r="M17" s="1" t="s">
        <v>1558</v>
      </c>
      <c r="N17" s="1" t="s">
        <v>1607</v>
      </c>
      <c r="O17" s="1" t="s">
        <v>1608</v>
      </c>
      <c r="P17" s="1" t="s">
        <v>454</v>
      </c>
      <c r="Q17" s="24" t="s">
        <v>1604</v>
      </c>
    </row>
    <row r="18" spans="1:17" ht="44" thickBot="1" x14ac:dyDescent="0.4">
      <c r="A18" s="3" t="s">
        <v>1609</v>
      </c>
      <c r="B18" s="1" t="s">
        <v>1551</v>
      </c>
      <c r="C18" s="1" t="s">
        <v>82</v>
      </c>
      <c r="D18" s="1" t="s">
        <v>1610</v>
      </c>
      <c r="E18" s="1" t="s">
        <v>257</v>
      </c>
      <c r="F18" s="1" t="s">
        <v>15</v>
      </c>
      <c r="G18" s="1" t="s">
        <v>1611</v>
      </c>
      <c r="H18" s="1" t="s">
        <v>1612</v>
      </c>
      <c r="I18" s="2" t="s">
        <v>1604</v>
      </c>
      <c r="J18" s="2" t="s">
        <v>1605</v>
      </c>
      <c r="K18" s="2" t="s">
        <v>1547</v>
      </c>
      <c r="L18" s="1" t="s">
        <v>1613</v>
      </c>
      <c r="M18" s="1" t="s">
        <v>1558</v>
      </c>
      <c r="N18" s="1" t="s">
        <v>1614</v>
      </c>
      <c r="O18" s="1" t="s">
        <v>1615</v>
      </c>
      <c r="P18" s="1" t="s">
        <v>454</v>
      </c>
      <c r="Q18" s="24" t="s">
        <v>1604</v>
      </c>
    </row>
    <row r="19" spans="1:17" ht="44" thickBot="1" x14ac:dyDescent="0.4">
      <c r="A19" s="3" t="s">
        <v>1616</v>
      </c>
      <c r="B19" s="1" t="s">
        <v>1551</v>
      </c>
      <c r="C19" s="1" t="s">
        <v>31</v>
      </c>
      <c r="D19" s="1" t="s">
        <v>1617</v>
      </c>
      <c r="E19" s="1" t="s">
        <v>257</v>
      </c>
      <c r="F19" s="1" t="s">
        <v>15</v>
      </c>
      <c r="G19" s="1" t="s">
        <v>825</v>
      </c>
      <c r="H19" s="1" t="s">
        <v>826</v>
      </c>
      <c r="I19" s="2" t="s">
        <v>1618</v>
      </c>
      <c r="J19" s="2" t="s">
        <v>1619</v>
      </c>
      <c r="K19" s="2" t="s">
        <v>1490</v>
      </c>
      <c r="L19" s="1" t="s">
        <v>1620</v>
      </c>
      <c r="M19" s="1" t="s">
        <v>1573</v>
      </c>
      <c r="N19" s="1" t="s">
        <v>1601</v>
      </c>
      <c r="O19" s="1" t="s">
        <v>1621</v>
      </c>
      <c r="P19" s="1" t="s">
        <v>454</v>
      </c>
      <c r="Q19" s="24" t="s">
        <v>1618</v>
      </c>
    </row>
    <row r="20" spans="1:17" ht="44" thickBot="1" x14ac:dyDescent="0.4">
      <c r="A20" s="3" t="s">
        <v>1622</v>
      </c>
      <c r="B20" s="1" t="s">
        <v>1551</v>
      </c>
      <c r="C20" s="1" t="s">
        <v>82</v>
      </c>
      <c r="D20" s="1" t="s">
        <v>1057</v>
      </c>
      <c r="E20" s="1" t="s">
        <v>229</v>
      </c>
      <c r="F20" s="1" t="s">
        <v>15</v>
      </c>
      <c r="G20" s="1" t="s">
        <v>1623</v>
      </c>
      <c r="H20" s="1" t="s">
        <v>928</v>
      </c>
      <c r="I20" s="2" t="s">
        <v>407</v>
      </c>
      <c r="J20" s="1" t="s">
        <v>928</v>
      </c>
      <c r="K20" s="2" t="s">
        <v>1474</v>
      </c>
      <c r="L20" s="1" t="s">
        <v>1584</v>
      </c>
      <c r="M20" s="1" t="s">
        <v>1573</v>
      </c>
      <c r="N20" s="1" t="s">
        <v>791</v>
      </c>
      <c r="O20" s="1" t="s">
        <v>1580</v>
      </c>
      <c r="P20" s="1" t="s">
        <v>454</v>
      </c>
      <c r="Q20" s="24" t="s">
        <v>407</v>
      </c>
    </row>
    <row r="21" spans="1:17" ht="58.5" thickBot="1" x14ac:dyDescent="0.4">
      <c r="A21" s="3" t="s">
        <v>1624</v>
      </c>
      <c r="B21" s="1" t="s">
        <v>1551</v>
      </c>
      <c r="C21" s="1" t="s">
        <v>25</v>
      </c>
      <c r="D21" s="1" t="s">
        <v>1625</v>
      </c>
      <c r="E21" s="1" t="s">
        <v>257</v>
      </c>
      <c r="F21" s="1" t="s">
        <v>15</v>
      </c>
      <c r="G21" s="1" t="s">
        <v>1626</v>
      </c>
      <c r="H21" s="1" t="s">
        <v>1627</v>
      </c>
      <c r="I21" s="2" t="s">
        <v>1628</v>
      </c>
      <c r="J21" s="1" t="s">
        <v>928</v>
      </c>
      <c r="K21" s="2" t="s">
        <v>1695</v>
      </c>
      <c r="L21" s="1" t="s">
        <v>1629</v>
      </c>
      <c r="M21" s="1" t="s">
        <v>1558</v>
      </c>
      <c r="N21" s="1" t="s">
        <v>1630</v>
      </c>
      <c r="O21" s="1" t="s">
        <v>1587</v>
      </c>
      <c r="P21" s="1" t="s">
        <v>455</v>
      </c>
      <c r="Q21" s="24" t="s">
        <v>1631</v>
      </c>
    </row>
    <row r="22" spans="1:17" ht="44" thickBot="1" x14ac:dyDescent="0.4">
      <c r="A22" s="3" t="s">
        <v>1632</v>
      </c>
      <c r="B22" s="1" t="s">
        <v>1551</v>
      </c>
      <c r="C22" s="1" t="s">
        <v>82</v>
      </c>
      <c r="D22" s="1" t="s">
        <v>1633</v>
      </c>
      <c r="E22" s="1" t="s">
        <v>14</v>
      </c>
      <c r="F22" s="1" t="s">
        <v>15</v>
      </c>
      <c r="G22" s="1" t="s">
        <v>1634</v>
      </c>
      <c r="H22" s="1" t="s">
        <v>1635</v>
      </c>
      <c r="I22" s="2" t="s">
        <v>1636</v>
      </c>
      <c r="J22" s="1" t="s">
        <v>928</v>
      </c>
      <c r="K22" s="2" t="s">
        <v>1696</v>
      </c>
      <c r="L22" s="1" t="s">
        <v>1637</v>
      </c>
      <c r="M22" s="1" t="s">
        <v>1558</v>
      </c>
      <c r="N22" s="1" t="s">
        <v>1638</v>
      </c>
      <c r="O22" s="1" t="s">
        <v>1621</v>
      </c>
      <c r="P22" s="1" t="s">
        <v>454</v>
      </c>
      <c r="Q22" s="24" t="s">
        <v>1636</v>
      </c>
    </row>
    <row r="23" spans="1:17" ht="73" thickBot="1" x14ac:dyDescent="0.4">
      <c r="A23" s="3" t="s">
        <v>1639</v>
      </c>
      <c r="B23" s="1" t="s">
        <v>1551</v>
      </c>
      <c r="C23" s="1" t="s">
        <v>31</v>
      </c>
      <c r="D23" s="1" t="s">
        <v>1640</v>
      </c>
      <c r="E23" s="1" t="s">
        <v>229</v>
      </c>
      <c r="F23" s="1" t="s">
        <v>15</v>
      </c>
      <c r="G23" s="1" t="s">
        <v>928</v>
      </c>
      <c r="H23" s="1" t="s">
        <v>928</v>
      </c>
      <c r="I23" s="1" t="s">
        <v>928</v>
      </c>
      <c r="J23" s="1" t="s">
        <v>928</v>
      </c>
      <c r="K23" s="2" t="s">
        <v>1697</v>
      </c>
      <c r="L23" s="1" t="s">
        <v>1641</v>
      </c>
      <c r="M23" s="1" t="s">
        <v>1558</v>
      </c>
      <c r="N23" s="1" t="s">
        <v>791</v>
      </c>
      <c r="O23" s="1" t="s">
        <v>1642</v>
      </c>
      <c r="P23" s="1" t="s">
        <v>455</v>
      </c>
      <c r="Q23" s="24" t="s">
        <v>1643</v>
      </c>
    </row>
    <row r="24" spans="1:17" ht="44" thickBot="1" x14ac:dyDescent="0.4">
      <c r="A24" s="3" t="s">
        <v>375</v>
      </c>
      <c r="B24" s="1" t="s">
        <v>1551</v>
      </c>
      <c r="C24" s="1" t="s">
        <v>12</v>
      </c>
      <c r="D24" s="1" t="s">
        <v>377</v>
      </c>
      <c r="E24" s="1" t="s">
        <v>219</v>
      </c>
      <c r="F24" s="1" t="s">
        <v>15</v>
      </c>
      <c r="G24" s="1" t="s">
        <v>378</v>
      </c>
      <c r="H24" s="1" t="s">
        <v>928</v>
      </c>
      <c r="I24" s="1" t="s">
        <v>928</v>
      </c>
      <c r="J24" s="1" t="s">
        <v>928</v>
      </c>
      <c r="K24" s="2" t="s">
        <v>1532</v>
      </c>
      <c r="L24" s="1" t="s">
        <v>1644</v>
      </c>
      <c r="M24" s="1" t="s">
        <v>1558</v>
      </c>
      <c r="N24" s="1" t="s">
        <v>588</v>
      </c>
      <c r="O24" s="1" t="s">
        <v>1587</v>
      </c>
      <c r="P24" s="1" t="s">
        <v>455</v>
      </c>
      <c r="Q24" s="27" t="s">
        <v>1645</v>
      </c>
    </row>
    <row r="25" spans="1:17" ht="44" thickBot="1" x14ac:dyDescent="0.4">
      <c r="A25" s="3" t="s">
        <v>1646</v>
      </c>
      <c r="B25" s="1" t="s">
        <v>1551</v>
      </c>
      <c r="C25" s="1" t="s">
        <v>12</v>
      </c>
      <c r="D25" s="1" t="s">
        <v>1647</v>
      </c>
      <c r="E25" s="1" t="s">
        <v>219</v>
      </c>
      <c r="F25" s="1" t="s">
        <v>15</v>
      </c>
      <c r="G25" s="1" t="s">
        <v>1648</v>
      </c>
      <c r="H25" s="1" t="s">
        <v>928</v>
      </c>
      <c r="I25" s="1" t="s">
        <v>928</v>
      </c>
      <c r="J25" s="2" t="s">
        <v>1649</v>
      </c>
      <c r="K25" s="2" t="s">
        <v>1698</v>
      </c>
      <c r="L25" s="1" t="s">
        <v>1606</v>
      </c>
      <c r="M25" s="1" t="s">
        <v>1558</v>
      </c>
      <c r="N25" s="1" t="s">
        <v>539</v>
      </c>
      <c r="O25" s="1" t="s">
        <v>1587</v>
      </c>
      <c r="P25" s="1" t="s">
        <v>455</v>
      </c>
      <c r="Q25" s="24" t="s">
        <v>1649</v>
      </c>
    </row>
    <row r="26" spans="1:17" ht="44" thickBot="1" x14ac:dyDescent="0.4">
      <c r="A26" s="3" t="s">
        <v>1650</v>
      </c>
      <c r="B26" s="1" t="s">
        <v>1551</v>
      </c>
      <c r="C26" s="1" t="s">
        <v>25</v>
      </c>
      <c r="D26" s="1" t="s">
        <v>1651</v>
      </c>
      <c r="E26" s="1" t="s">
        <v>1652</v>
      </c>
      <c r="F26" s="1" t="s">
        <v>15</v>
      </c>
      <c r="G26" s="1" t="s">
        <v>1653</v>
      </c>
      <c r="H26" s="1" t="s">
        <v>1654</v>
      </c>
      <c r="I26" s="2" t="s">
        <v>1655</v>
      </c>
      <c r="J26" s="2" t="s">
        <v>858</v>
      </c>
      <c r="K26" s="2" t="s">
        <v>1699</v>
      </c>
      <c r="L26" s="1" t="s">
        <v>1620</v>
      </c>
      <c r="M26" s="1" t="s">
        <v>1558</v>
      </c>
      <c r="N26" s="1" t="s">
        <v>1656</v>
      </c>
      <c r="O26" s="1" t="s">
        <v>1642</v>
      </c>
      <c r="P26" s="1" t="s">
        <v>454</v>
      </c>
      <c r="Q26" s="24" t="s">
        <v>1655</v>
      </c>
    </row>
    <row r="27" spans="1:17" ht="44" thickBot="1" x14ac:dyDescent="0.4">
      <c r="A27" s="3" t="s">
        <v>1657</v>
      </c>
      <c r="B27" s="1" t="s">
        <v>1551</v>
      </c>
      <c r="C27" s="1" t="s">
        <v>82</v>
      </c>
      <c r="D27" s="1" t="s">
        <v>1658</v>
      </c>
      <c r="E27" s="1" t="s">
        <v>78</v>
      </c>
      <c r="F27" s="1" t="s">
        <v>15</v>
      </c>
      <c r="G27" s="1" t="s">
        <v>1659</v>
      </c>
      <c r="H27" s="1" t="s">
        <v>928</v>
      </c>
      <c r="I27" s="1" t="s">
        <v>928</v>
      </c>
      <c r="J27" s="1" t="s">
        <v>928</v>
      </c>
      <c r="K27" s="2" t="s">
        <v>1700</v>
      </c>
      <c r="L27" s="1" t="s">
        <v>1660</v>
      </c>
      <c r="M27" s="1" t="s">
        <v>1573</v>
      </c>
      <c r="N27" s="1" t="s">
        <v>791</v>
      </c>
      <c r="O27" s="1" t="s">
        <v>1580</v>
      </c>
      <c r="P27" s="1" t="s">
        <v>455</v>
      </c>
      <c r="Q27" s="24" t="s">
        <v>1661</v>
      </c>
    </row>
    <row r="28" spans="1:17" ht="44" thickBot="1" x14ac:dyDescent="0.4">
      <c r="A28" s="3" t="s">
        <v>1662</v>
      </c>
      <c r="B28" s="1" t="s">
        <v>1551</v>
      </c>
      <c r="C28" s="1" t="s">
        <v>82</v>
      </c>
      <c r="D28" s="1" t="s">
        <v>1663</v>
      </c>
      <c r="E28" s="1" t="s">
        <v>14</v>
      </c>
      <c r="F28" s="1" t="s">
        <v>15</v>
      </c>
      <c r="G28" s="1" t="s">
        <v>928</v>
      </c>
      <c r="H28" s="1" t="s">
        <v>928</v>
      </c>
      <c r="I28" s="1" t="s">
        <v>928</v>
      </c>
      <c r="J28" s="1" t="s">
        <v>928</v>
      </c>
      <c r="K28" s="2" t="s">
        <v>1701</v>
      </c>
      <c r="L28" s="1" t="s">
        <v>1664</v>
      </c>
      <c r="M28" s="1" t="s">
        <v>1558</v>
      </c>
      <c r="N28" s="1" t="s">
        <v>791</v>
      </c>
      <c r="O28" s="1" t="s">
        <v>1580</v>
      </c>
      <c r="P28" s="1" t="s">
        <v>455</v>
      </c>
      <c r="Q28" s="24" t="s">
        <v>1665</v>
      </c>
    </row>
    <row r="29" spans="1:17" ht="44" thickBot="1" x14ac:dyDescent="0.4">
      <c r="A29" s="3" t="s">
        <v>1666</v>
      </c>
      <c r="B29" s="1" t="s">
        <v>1551</v>
      </c>
      <c r="C29" s="1" t="s">
        <v>82</v>
      </c>
      <c r="D29" s="1" t="s">
        <v>1667</v>
      </c>
      <c r="E29" s="1" t="s">
        <v>1668</v>
      </c>
      <c r="F29" s="1" t="s">
        <v>15</v>
      </c>
      <c r="G29" s="1" t="s">
        <v>1669</v>
      </c>
      <c r="H29" s="1" t="s">
        <v>1670</v>
      </c>
      <c r="I29" s="2" t="s">
        <v>1671</v>
      </c>
      <c r="J29" s="1" t="s">
        <v>928</v>
      </c>
      <c r="K29" s="2" t="s">
        <v>1702</v>
      </c>
      <c r="L29" s="1" t="s">
        <v>1672</v>
      </c>
      <c r="M29" s="1" t="s">
        <v>1558</v>
      </c>
      <c r="N29" s="1" t="s">
        <v>1673</v>
      </c>
      <c r="O29" s="1" t="s">
        <v>1674</v>
      </c>
      <c r="P29" s="1" t="s">
        <v>454</v>
      </c>
      <c r="Q29" s="24" t="s">
        <v>1675</v>
      </c>
    </row>
    <row r="30" spans="1:17" ht="44" thickBot="1" x14ac:dyDescent="0.4">
      <c r="A30" s="3" t="s">
        <v>1676</v>
      </c>
      <c r="B30" s="1" t="s">
        <v>1551</v>
      </c>
      <c r="C30" s="1" t="s">
        <v>25</v>
      </c>
      <c r="D30" s="1" t="s">
        <v>1677</v>
      </c>
      <c r="E30" s="1" t="s">
        <v>219</v>
      </c>
      <c r="F30" s="1" t="s">
        <v>15</v>
      </c>
      <c r="G30" s="1" t="s">
        <v>234</v>
      </c>
      <c r="H30" s="1" t="s">
        <v>928</v>
      </c>
      <c r="I30" s="2" t="s">
        <v>235</v>
      </c>
      <c r="J30" s="1" t="s">
        <v>928</v>
      </c>
      <c r="K30" s="2" t="s">
        <v>1703</v>
      </c>
      <c r="L30" s="1" t="s">
        <v>1678</v>
      </c>
      <c r="M30" s="1" t="s">
        <v>1558</v>
      </c>
      <c r="N30" s="1" t="s">
        <v>1679</v>
      </c>
      <c r="O30" s="1" t="s">
        <v>1587</v>
      </c>
      <c r="P30" s="1" t="s">
        <v>454</v>
      </c>
      <c r="Q30" s="24" t="s">
        <v>1680</v>
      </c>
    </row>
    <row r="31" spans="1:17" ht="51.5" thickBot="1" x14ac:dyDescent="0.4">
      <c r="A31" s="3" t="s">
        <v>1681</v>
      </c>
      <c r="B31" s="1" t="s">
        <v>1551</v>
      </c>
      <c r="C31" s="1" t="s">
        <v>82</v>
      </c>
      <c r="D31" s="1" t="s">
        <v>1682</v>
      </c>
      <c r="E31" s="1" t="s">
        <v>14</v>
      </c>
      <c r="F31" s="1" t="s">
        <v>15</v>
      </c>
      <c r="G31" s="1" t="s">
        <v>1683</v>
      </c>
      <c r="H31" s="1" t="s">
        <v>928</v>
      </c>
      <c r="I31" s="2" t="s">
        <v>1671</v>
      </c>
      <c r="J31" s="1" t="s">
        <v>928</v>
      </c>
      <c r="K31" s="2" t="s">
        <v>1704</v>
      </c>
      <c r="L31" s="1" t="s">
        <v>1684</v>
      </c>
      <c r="M31" s="1" t="s">
        <v>1558</v>
      </c>
      <c r="N31" s="1" t="s">
        <v>1685</v>
      </c>
      <c r="O31" s="1" t="s">
        <v>1674</v>
      </c>
      <c r="P31" s="1" t="s">
        <v>455</v>
      </c>
      <c r="Q31" s="24" t="s">
        <v>1675</v>
      </c>
    </row>
    <row r="32" spans="1:17" ht="44" thickBot="1" x14ac:dyDescent="0.4">
      <c r="A32" s="7" t="s">
        <v>1686</v>
      </c>
      <c r="B32" s="8" t="s">
        <v>1551</v>
      </c>
      <c r="C32" s="8" t="s">
        <v>82</v>
      </c>
      <c r="D32" s="8" t="s">
        <v>1687</v>
      </c>
      <c r="E32" s="8" t="s">
        <v>1688</v>
      </c>
      <c r="F32" s="8" t="s">
        <v>15</v>
      </c>
      <c r="G32" s="8" t="s">
        <v>1689</v>
      </c>
      <c r="H32" s="8" t="s">
        <v>928</v>
      </c>
      <c r="I32" s="8" t="s">
        <v>928</v>
      </c>
      <c r="J32" s="8" t="s">
        <v>928</v>
      </c>
      <c r="K32" s="2" t="s">
        <v>1705</v>
      </c>
      <c r="L32" s="8" t="s">
        <v>1170</v>
      </c>
      <c r="M32" s="8" t="s">
        <v>1558</v>
      </c>
      <c r="N32" s="8" t="s">
        <v>840</v>
      </c>
      <c r="O32" s="8" t="s">
        <v>1587</v>
      </c>
      <c r="P32" s="8" t="s">
        <v>455</v>
      </c>
      <c r="Q32" s="25" t="s">
        <v>1690</v>
      </c>
    </row>
    <row r="36" spans="1:2" x14ac:dyDescent="0.35">
      <c r="A36" s="23" t="s">
        <v>1229</v>
      </c>
      <c r="B36" s="23">
        <f>COUNTIF($P$2:$P$32,"Yes")</f>
        <v>23</v>
      </c>
    </row>
    <row r="37" spans="1:2" x14ac:dyDescent="0.35">
      <c r="A37" s="23" t="s">
        <v>459</v>
      </c>
      <c r="B37" s="23">
        <f>COUNTIF($G$2:$G$32,"N/A")</f>
        <v>4</v>
      </c>
    </row>
    <row r="38" spans="1:2" x14ac:dyDescent="0.35">
      <c r="A38" s="23" t="s">
        <v>458</v>
      </c>
      <c r="B38" s="23">
        <f>COUNTIF($H$2:$H$32,"N/A")</f>
        <v>20</v>
      </c>
    </row>
    <row r="39" spans="1:2" x14ac:dyDescent="0.35">
      <c r="A39" s="23" t="s">
        <v>457</v>
      </c>
      <c r="B39" s="23">
        <f>COUNTIF($I$2:$I$32,"N/A")</f>
        <v>12</v>
      </c>
    </row>
  </sheetData>
  <hyperlinks>
    <hyperlink ref="I2" r:id="rId1" xr:uid="{2C681748-E60D-4663-9E46-64940F588DE1}"/>
    <hyperlink ref="J2" r:id="rId2" xr:uid="{244CE70F-DA2B-46E3-8C04-68734B2C6A48}"/>
    <hyperlink ref="Q2" r:id="rId3" xr:uid="{33F4FDCB-ABCB-4A81-AECA-514BFA9C93C6}"/>
    <hyperlink ref="I3" r:id="rId4" xr:uid="{7FA038A9-29CA-4BA7-A51E-498F3DCDDFED}"/>
    <hyperlink ref="Q3" r:id="rId5" xr:uid="{06671904-4863-46B9-9849-D35F516808EC}"/>
    <hyperlink ref="J4" r:id="rId6" xr:uid="{A818FA99-BD63-4099-A062-A2AB46AE1405}"/>
    <hyperlink ref="Q4" r:id="rId7" xr:uid="{FC857605-56A3-417E-973F-A68AD58DFEF2}"/>
    <hyperlink ref="I5" r:id="rId8" xr:uid="{7B7AE886-6908-4DAB-9479-C74E891930F9}"/>
    <hyperlink ref="Q5" r:id="rId9" xr:uid="{F842F923-06EC-4796-BB0A-A265015101C0}"/>
    <hyperlink ref="I6" r:id="rId10" xr:uid="{8F051A53-D0A7-4688-A8BD-17860C45938A}"/>
    <hyperlink ref="Q6" r:id="rId11" xr:uid="{A05B8937-1145-4F2C-9334-DB2DC4176DC1}"/>
    <hyperlink ref="I7" r:id="rId12" xr:uid="{10CEEBDF-4F5C-4B06-A13A-83E03728FF24}"/>
    <hyperlink ref="Q7" r:id="rId13" xr:uid="{6CA988AB-CF14-4E06-A258-5F9EB3EF21FA}"/>
    <hyperlink ref="Q8" r:id="rId14" xr:uid="{904CDBC1-080D-4792-81F3-7369D035A1EF}"/>
    <hyperlink ref="I9" r:id="rId15" xr:uid="{ACD3F93D-0256-4C38-A60B-AE94D6C36C05}"/>
    <hyperlink ref="Q9" r:id="rId16" xr:uid="{A32275B6-BC57-4B59-B987-68D2B83CD8D0}"/>
    <hyperlink ref="Q10" r:id="rId17" xr:uid="{E46D6932-1CD5-4E21-8DF5-E4E45A55BCC9}"/>
    <hyperlink ref="J11" r:id="rId18" xr:uid="{0C444451-E54E-41D6-8D8B-AA932C9BB8BF}"/>
    <hyperlink ref="Q11" r:id="rId19" xr:uid="{49680D22-1A20-4440-8FCE-EE54E96F22F0}"/>
    <hyperlink ref="I12" r:id="rId20" xr:uid="{DA657B07-A6A5-42D0-9F0F-4351BA7E85CD}"/>
    <hyperlink ref="Q12" r:id="rId21" xr:uid="{FB0BBC35-8FB6-432D-83BB-FD4E762E51EE}"/>
    <hyperlink ref="Q13" r:id="rId22" xr:uid="{8FD00955-9B40-4935-87F4-881C5DAF6E21}"/>
    <hyperlink ref="Q14" r:id="rId23" xr:uid="{8FBF6A40-7FDA-4902-A95B-58C89C2C7568}"/>
    <hyperlink ref="I15" r:id="rId24" xr:uid="{1083EA3A-AC24-4157-9368-F3D5C25716EA}"/>
    <hyperlink ref="Q15" r:id="rId25" xr:uid="{7AF2A685-6504-4694-ADD1-E3DAADC7AC31}"/>
    <hyperlink ref="I16" r:id="rId26" xr:uid="{3757B601-EF58-406F-9D56-9CB0B9CED307}"/>
    <hyperlink ref="Q16" r:id="rId27" xr:uid="{8B645263-B6C7-4E50-9F9C-D83163010DD6}"/>
    <hyperlink ref="I17" r:id="rId28" xr:uid="{F7880FC8-B8EE-4029-B796-62F0F962F791}"/>
    <hyperlink ref="J17" r:id="rId29" xr:uid="{AAD41547-690E-4D64-87B1-B7F10E7E6F10}"/>
    <hyperlink ref="Q17" r:id="rId30" xr:uid="{A0273942-3FE3-4C6C-885A-D566AD5B7AE2}"/>
    <hyperlink ref="I18" r:id="rId31" xr:uid="{858D7B9F-EAC1-4423-9182-C8A77DFE9412}"/>
    <hyperlink ref="J18" r:id="rId32" xr:uid="{3A03CFC8-F201-4699-9243-25AA6BA52166}"/>
    <hyperlink ref="Q18" r:id="rId33" xr:uid="{E0D7D9F9-F4AE-4CDE-814A-8F1FA2E155AF}"/>
    <hyperlink ref="I19" r:id="rId34" xr:uid="{0085A224-EC3E-4886-8CDC-8073A94C3590}"/>
    <hyperlink ref="J19" r:id="rId35" xr:uid="{745CE328-C6E9-4527-90B4-4BC1318BFF6C}"/>
    <hyperlink ref="Q19" r:id="rId36" xr:uid="{8729BA5C-FC9E-4D58-ADE5-16D5DABE68EE}"/>
    <hyperlink ref="I20" r:id="rId37" xr:uid="{6EE17884-1BD9-4991-928D-1EE09F89C8E5}"/>
    <hyperlink ref="Q20" r:id="rId38" xr:uid="{3A77A675-724E-4F6D-A8FD-1A70D4B23B4F}"/>
    <hyperlink ref="I21" r:id="rId39" xr:uid="{32E759D4-4036-4315-8B65-720904018D1A}"/>
    <hyperlink ref="Q21" r:id="rId40" xr:uid="{96AF1FF2-EE6F-4596-8528-E0A0557474A6}"/>
    <hyperlink ref="I22" r:id="rId41" xr:uid="{6A53FFAB-4776-4B9A-9055-B3E715511B5D}"/>
    <hyperlink ref="Q22" r:id="rId42" xr:uid="{5851CA40-D888-474E-91B3-50E9CCEB0E12}"/>
    <hyperlink ref="Q23" r:id="rId43" xr:uid="{92F53835-149C-42FC-B91B-4D55621DBF44}"/>
    <hyperlink ref="J25" r:id="rId44" xr:uid="{C6A51971-E055-4FE1-9D82-37CBD65C4CA7}"/>
    <hyperlink ref="Q25" r:id="rId45" xr:uid="{5B6B449D-D970-497E-A4DC-49B4FBDA24C0}"/>
    <hyperlink ref="I26" r:id="rId46" xr:uid="{0F0E5DA8-AF4E-4FE6-934A-24992D3BFE36}"/>
    <hyperlink ref="J26" r:id="rId47" xr:uid="{991BBCDA-7E68-4FE7-AA00-228D2780CAA5}"/>
    <hyperlink ref="Q26" r:id="rId48" xr:uid="{CFD20A56-5A53-4306-98F9-7CF8F87982A2}"/>
    <hyperlink ref="Q27" r:id="rId49" xr:uid="{4030A8FC-941D-4092-BBB7-F3D213D21399}"/>
    <hyperlink ref="Q28" r:id="rId50" xr:uid="{63FF3BDF-4EEE-4865-B5F9-45EC853B4591}"/>
    <hyperlink ref="I29" r:id="rId51" xr:uid="{F4BDCE57-AFEE-43C8-AAB9-07C91B3B24A1}"/>
    <hyperlink ref="Q29" r:id="rId52" xr:uid="{6EB637E0-8939-484B-8941-9D08EA4A859D}"/>
    <hyperlink ref="I30" r:id="rId53" xr:uid="{01C8E1C8-AA59-41FE-A2B3-646FE981537B}"/>
    <hyperlink ref="Q30" r:id="rId54" xr:uid="{56A324ED-CE1F-429A-A52E-A97679B10239}"/>
    <hyperlink ref="I31" r:id="rId55" xr:uid="{2B3C7973-B026-4526-A552-19899C8C16A5}"/>
    <hyperlink ref="Q31" r:id="rId56" xr:uid="{77180ED5-3FA9-41DC-9668-FB56D000D16F}"/>
    <hyperlink ref="Q32" r:id="rId57" xr:uid="{5068AAC0-5FD5-4391-8A46-1FDABFA33178}"/>
    <hyperlink ref="K2" r:id="rId58" xr:uid="{FA73C054-9248-4B89-BE76-54729B4E0327}"/>
    <hyperlink ref="K3" r:id="rId59" xr:uid="{B12886F1-8FCC-4388-B535-0A83F4663A59}"/>
    <hyperlink ref="K4" r:id="rId60" xr:uid="{9401C69C-8A94-469F-8115-E1740508AAD9}"/>
    <hyperlink ref="K5" r:id="rId61" xr:uid="{95F94768-54B5-4767-A5C9-6EAE3C14EBA1}"/>
    <hyperlink ref="K6" r:id="rId62" xr:uid="{2C0E773D-FAFA-4E48-BED1-4D73A3722BF5}"/>
    <hyperlink ref="K7" r:id="rId63" xr:uid="{37BB3F43-7ED2-4986-834A-D4D8A54167DD}"/>
    <hyperlink ref="K8" r:id="rId64" xr:uid="{88818139-527C-4B03-A248-F66107B6B6E2}"/>
    <hyperlink ref="K9" r:id="rId65" xr:uid="{8C0C0513-9617-4710-9318-D88984FF0527}"/>
    <hyperlink ref="K10" r:id="rId66" xr:uid="{706EEDF1-5B6E-4859-8657-BAE59D9BAD5D}"/>
    <hyperlink ref="K11" r:id="rId67" xr:uid="{946136F7-014A-4CA3-8908-2AC497FE3856}"/>
    <hyperlink ref="K12" r:id="rId68" xr:uid="{B13DA20D-E66B-4707-9D69-4BB6771B1436}"/>
    <hyperlink ref="K13" r:id="rId69" xr:uid="{E2C66C38-F5EE-42AF-9F66-1B6B694CAAD7}"/>
    <hyperlink ref="K14" r:id="rId70" xr:uid="{C83DA3D3-76C7-4635-868A-A86AF4549003}"/>
    <hyperlink ref="K15" r:id="rId71" xr:uid="{4D9C9FA8-A6E2-4891-B36A-2C22EDD8D0D7}"/>
    <hyperlink ref="K16" r:id="rId72" xr:uid="{241A4177-19FE-4A40-AC21-813D28345B36}"/>
    <hyperlink ref="K17" r:id="rId73" xr:uid="{FD90193E-F2D4-4423-BC11-2001C1FD7A89}"/>
    <hyperlink ref="K18" r:id="rId74" xr:uid="{AB19E8BF-32B9-4343-A008-5EA6D0CFCC5F}"/>
    <hyperlink ref="K19" r:id="rId75" xr:uid="{3EE41682-59F3-45AA-8D4A-BD930F067E6F}"/>
    <hyperlink ref="K20" r:id="rId76" xr:uid="{4B0A12AF-CBE4-4EEF-9E85-6D8424BCAE87}"/>
    <hyperlink ref="K21" r:id="rId77" xr:uid="{10C06E6E-319A-429F-9DCA-8847FC4BD4C4}"/>
    <hyperlink ref="K22" r:id="rId78" xr:uid="{E7942A25-34C9-43B8-A247-2FC6D9F70A8F}"/>
    <hyperlink ref="K23" r:id="rId79" xr:uid="{692A5636-34D8-42C2-A2C9-A9C6C34CE6A2}"/>
    <hyperlink ref="K24" r:id="rId80" xr:uid="{6B7310A0-B692-4903-A9FD-CC65CE77CA11}"/>
    <hyperlink ref="K25" r:id="rId81" xr:uid="{72830289-67CA-4AB6-BC29-47C7D56979EB}"/>
    <hyperlink ref="K26" r:id="rId82" xr:uid="{E1BF60A8-E0E7-4375-A44C-CB1941B44DF6}"/>
    <hyperlink ref="K27" r:id="rId83" xr:uid="{D8C52638-4612-4EE8-B9C1-459B9FDC9A27}"/>
    <hyperlink ref="K28" r:id="rId84" xr:uid="{FE88A9EA-1560-4A83-9BB8-31EBB656DED0}"/>
    <hyperlink ref="K29" r:id="rId85" xr:uid="{3F1FFF45-D5B7-4DFF-BCA5-F28469D27DCE}"/>
    <hyperlink ref="K30" r:id="rId86" xr:uid="{4FAE1E3A-A55C-43B7-B215-C2900DA43DC6}"/>
    <hyperlink ref="K31" r:id="rId87" xr:uid="{D96F0E75-FAB8-46C3-9288-A498CFDC7FB6}"/>
    <hyperlink ref="K32" r:id="rId88" xr:uid="{022BD334-C8B9-49B3-84FD-4F3EEA1AE674}"/>
  </hyperlinks>
  <pageMargins left="0.7" right="0.7" top="0.75" bottom="0.75" header="0.3" footer="0.3"/>
  <tableParts count="1">
    <tablePart r:id="rId8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11CE-A227-4D8F-854E-982CF4E7CBB3}">
  <dimension ref="A1:R38"/>
  <sheetViews>
    <sheetView topLeftCell="A30" workbookViewId="0">
      <selection activeCell="B35" sqref="B35"/>
    </sheetView>
  </sheetViews>
  <sheetFormatPr defaultRowHeight="14.5" x14ac:dyDescent="0.35"/>
  <cols>
    <col min="1" max="1" width="28.6328125" customWidth="1"/>
    <col min="2" max="2" width="10.08984375" customWidth="1"/>
    <col min="3" max="3" width="15.453125" customWidth="1"/>
    <col min="4" max="4" width="30.54296875" customWidth="1"/>
    <col min="5" max="5" width="15.08984375" customWidth="1"/>
    <col min="6" max="6" width="12" customWidth="1"/>
    <col min="7" max="7" width="16.81640625" customWidth="1"/>
    <col min="8" max="8" width="26.26953125" customWidth="1"/>
    <col min="9" max="9" width="26.7265625" customWidth="1"/>
    <col min="10" max="10" width="26.26953125" customWidth="1"/>
    <col min="11" max="11" width="26.1796875" customWidth="1"/>
    <col min="12" max="12" width="26" customWidth="1"/>
    <col min="13" max="13" width="19.08984375" customWidth="1"/>
    <col min="14" max="14" width="11.7265625" customWidth="1"/>
    <col min="15" max="15" width="14.81640625" customWidth="1"/>
    <col min="16" max="16" width="16" customWidth="1"/>
    <col min="17" max="17" width="18.6328125" customWidth="1"/>
    <col min="18" max="18" width="16.90625" customWidth="1"/>
  </cols>
  <sheetData>
    <row r="1" spans="1:18" ht="15" thickBot="1" x14ac:dyDescent="0.4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283</v>
      </c>
      <c r="I1" s="34" t="s">
        <v>485</v>
      </c>
      <c r="J1" s="34" t="s">
        <v>486</v>
      </c>
      <c r="K1" s="34" t="s">
        <v>7</v>
      </c>
      <c r="L1" s="34" t="s">
        <v>487</v>
      </c>
      <c r="M1" s="34" t="s">
        <v>1549</v>
      </c>
      <c r="N1" s="34" t="s">
        <v>1706</v>
      </c>
      <c r="O1" s="34" t="s">
        <v>488</v>
      </c>
      <c r="P1" s="34" t="s">
        <v>489</v>
      </c>
      <c r="Q1" s="34" t="s">
        <v>8</v>
      </c>
      <c r="R1" s="35" t="s">
        <v>9</v>
      </c>
    </row>
    <row r="2" spans="1:18" ht="51.5" thickBot="1" x14ac:dyDescent="0.4">
      <c r="A2" s="3" t="s">
        <v>1707</v>
      </c>
      <c r="B2" s="1" t="s">
        <v>1708</v>
      </c>
      <c r="C2" s="1" t="s">
        <v>292</v>
      </c>
      <c r="D2" s="1" t="s">
        <v>1709</v>
      </c>
      <c r="E2" s="1" t="s">
        <v>1652</v>
      </c>
      <c r="F2" s="1" t="s">
        <v>15</v>
      </c>
      <c r="G2" s="1" t="s">
        <v>1653</v>
      </c>
      <c r="H2" s="1" t="s">
        <v>856</v>
      </c>
      <c r="I2" s="2" t="s">
        <v>1655</v>
      </c>
      <c r="J2" s="2" t="s">
        <v>858</v>
      </c>
      <c r="K2" s="2" t="s">
        <v>1699</v>
      </c>
      <c r="L2" s="1" t="s">
        <v>1711</v>
      </c>
      <c r="M2" s="1" t="s">
        <v>1712</v>
      </c>
      <c r="N2" s="1" t="s">
        <v>1713</v>
      </c>
      <c r="O2" s="1" t="s">
        <v>1714</v>
      </c>
      <c r="P2" s="1" t="s">
        <v>1715</v>
      </c>
      <c r="Q2" s="1" t="s">
        <v>454</v>
      </c>
      <c r="R2" s="26" t="s">
        <v>1716</v>
      </c>
    </row>
    <row r="3" spans="1:18" ht="44" thickBot="1" x14ac:dyDescent="0.4">
      <c r="A3" s="3" t="s">
        <v>314</v>
      </c>
      <c r="B3" s="1" t="s">
        <v>1708</v>
      </c>
      <c r="C3" s="1" t="s">
        <v>297</v>
      </c>
      <c r="D3" s="1" t="s">
        <v>315</v>
      </c>
      <c r="E3" s="1" t="s">
        <v>37</v>
      </c>
      <c r="F3" s="1" t="s">
        <v>15</v>
      </c>
      <c r="G3" s="1" t="s">
        <v>38</v>
      </c>
      <c r="H3" s="1" t="s">
        <v>317</v>
      </c>
      <c r="I3" s="2" t="s">
        <v>39</v>
      </c>
      <c r="J3" s="1" t="s">
        <v>928</v>
      </c>
      <c r="K3" s="2" t="s">
        <v>1443</v>
      </c>
      <c r="L3" s="1" t="s">
        <v>1717</v>
      </c>
      <c r="M3" s="1" t="s">
        <v>1558</v>
      </c>
      <c r="N3" s="1" t="s">
        <v>1713</v>
      </c>
      <c r="O3" s="1" t="s">
        <v>1563</v>
      </c>
      <c r="P3" s="1" t="s">
        <v>540</v>
      </c>
      <c r="Q3" s="1" t="s">
        <v>454</v>
      </c>
      <c r="R3" s="26" t="s">
        <v>1718</v>
      </c>
    </row>
    <row r="4" spans="1:18" ht="51.5" thickBot="1" x14ac:dyDescent="0.4">
      <c r="A4" s="3" t="s">
        <v>1719</v>
      </c>
      <c r="B4" s="1" t="s">
        <v>1708</v>
      </c>
      <c r="C4" s="1" t="s">
        <v>297</v>
      </c>
      <c r="D4" s="1" t="s">
        <v>1720</v>
      </c>
      <c r="E4" s="1" t="s">
        <v>117</v>
      </c>
      <c r="F4" s="1" t="s">
        <v>15</v>
      </c>
      <c r="G4" s="1" t="s">
        <v>134</v>
      </c>
      <c r="H4" s="1" t="s">
        <v>864</v>
      </c>
      <c r="I4" s="1" t="s">
        <v>928</v>
      </c>
      <c r="J4" s="2" t="s">
        <v>135</v>
      </c>
      <c r="K4" s="2" t="s">
        <v>1541</v>
      </c>
      <c r="L4" s="1" t="s">
        <v>866</v>
      </c>
      <c r="M4" s="1" t="s">
        <v>1712</v>
      </c>
      <c r="N4" s="1" t="s">
        <v>1713</v>
      </c>
      <c r="O4" s="1" t="s">
        <v>1721</v>
      </c>
      <c r="P4" s="1" t="s">
        <v>1722</v>
      </c>
      <c r="Q4" s="1" t="s">
        <v>454</v>
      </c>
      <c r="R4" s="26" t="s">
        <v>1723</v>
      </c>
    </row>
    <row r="5" spans="1:18" ht="44" thickBot="1" x14ac:dyDescent="0.4">
      <c r="A5" s="3" t="s">
        <v>81</v>
      </c>
      <c r="B5" s="1" t="s">
        <v>1708</v>
      </c>
      <c r="C5" s="1" t="s">
        <v>292</v>
      </c>
      <c r="D5" s="1" t="s">
        <v>83</v>
      </c>
      <c r="E5" s="1" t="s">
        <v>78</v>
      </c>
      <c r="F5" s="1" t="s">
        <v>15</v>
      </c>
      <c r="G5" s="1" t="s">
        <v>84</v>
      </c>
      <c r="H5" s="1" t="s">
        <v>928</v>
      </c>
      <c r="I5" s="1" t="s">
        <v>928</v>
      </c>
      <c r="J5" s="1" t="s">
        <v>928</v>
      </c>
      <c r="K5" s="2" t="s">
        <v>1451</v>
      </c>
      <c r="L5" s="1" t="s">
        <v>1724</v>
      </c>
      <c r="M5" s="1" t="s">
        <v>1558</v>
      </c>
      <c r="N5" s="1" t="s">
        <v>1713</v>
      </c>
      <c r="O5" s="1" t="s">
        <v>981</v>
      </c>
      <c r="P5" s="1" t="s">
        <v>540</v>
      </c>
      <c r="Q5" s="1" t="s">
        <v>454</v>
      </c>
      <c r="R5" s="26" t="s">
        <v>1725</v>
      </c>
    </row>
    <row r="6" spans="1:18" ht="51.5" thickBot="1" x14ac:dyDescent="0.4">
      <c r="A6" s="3" t="s">
        <v>296</v>
      </c>
      <c r="B6" s="1" t="s">
        <v>1708</v>
      </c>
      <c r="C6" s="1" t="s">
        <v>297</v>
      </c>
      <c r="D6" s="1" t="s">
        <v>50</v>
      </c>
      <c r="E6" s="1" t="s">
        <v>51</v>
      </c>
      <c r="F6" s="1" t="s">
        <v>15</v>
      </c>
      <c r="G6" s="1" t="s">
        <v>42</v>
      </c>
      <c r="H6" s="1" t="s">
        <v>465</v>
      </c>
      <c r="I6" s="2" t="s">
        <v>43</v>
      </c>
      <c r="J6" s="1" t="s">
        <v>928</v>
      </c>
      <c r="K6" s="2" t="s">
        <v>1523</v>
      </c>
      <c r="L6" s="1" t="s">
        <v>648</v>
      </c>
      <c r="M6" s="1" t="s">
        <v>1726</v>
      </c>
      <c r="N6" s="1" t="s">
        <v>1727</v>
      </c>
      <c r="O6" s="1" t="s">
        <v>603</v>
      </c>
      <c r="P6" s="1" t="s">
        <v>540</v>
      </c>
      <c r="Q6" s="1" t="s">
        <v>454</v>
      </c>
      <c r="R6" s="26" t="s">
        <v>1728</v>
      </c>
    </row>
    <row r="7" spans="1:18" ht="51.5" thickBot="1" x14ac:dyDescent="0.4">
      <c r="A7" s="3" t="s">
        <v>616</v>
      </c>
      <c r="B7" s="1" t="s">
        <v>1708</v>
      </c>
      <c r="C7" s="1" t="s">
        <v>297</v>
      </c>
      <c r="D7" s="1" t="s">
        <v>442</v>
      </c>
      <c r="E7" s="1" t="s">
        <v>122</v>
      </c>
      <c r="F7" s="1" t="s">
        <v>15</v>
      </c>
      <c r="G7" s="1" t="s">
        <v>42</v>
      </c>
      <c r="H7" s="1" t="s">
        <v>465</v>
      </c>
      <c r="I7" s="2" t="s">
        <v>43</v>
      </c>
      <c r="J7" s="1" t="s">
        <v>928</v>
      </c>
      <c r="K7" s="2" t="s">
        <v>1457</v>
      </c>
      <c r="L7" s="1" t="s">
        <v>580</v>
      </c>
      <c r="M7" s="1" t="s">
        <v>1558</v>
      </c>
      <c r="N7" s="1" t="s">
        <v>1713</v>
      </c>
      <c r="O7" s="1" t="s">
        <v>618</v>
      </c>
      <c r="P7" s="1" t="s">
        <v>540</v>
      </c>
      <c r="Q7" s="1" t="s">
        <v>454</v>
      </c>
      <c r="R7" s="26" t="s">
        <v>1728</v>
      </c>
    </row>
    <row r="8" spans="1:18" ht="51.5" thickBot="1" x14ac:dyDescent="0.4">
      <c r="A8" s="3" t="s">
        <v>154</v>
      </c>
      <c r="B8" s="1" t="s">
        <v>1708</v>
      </c>
      <c r="C8" s="1" t="s">
        <v>354</v>
      </c>
      <c r="D8" s="1" t="s">
        <v>360</v>
      </c>
      <c r="E8" s="1" t="s">
        <v>151</v>
      </c>
      <c r="F8" s="1" t="s">
        <v>15</v>
      </c>
      <c r="G8" s="1" t="s">
        <v>156</v>
      </c>
      <c r="H8" s="1" t="s">
        <v>928</v>
      </c>
      <c r="I8" s="1" t="s">
        <v>928</v>
      </c>
      <c r="J8" s="1" t="s">
        <v>928</v>
      </c>
      <c r="K8" s="2" t="s">
        <v>1544</v>
      </c>
      <c r="L8" s="1" t="s">
        <v>1729</v>
      </c>
      <c r="M8" s="1" t="s">
        <v>1730</v>
      </c>
      <c r="N8" s="1" t="s">
        <v>1713</v>
      </c>
      <c r="O8" s="1" t="s">
        <v>791</v>
      </c>
      <c r="P8" s="1" t="s">
        <v>540</v>
      </c>
      <c r="Q8" s="1" t="s">
        <v>454</v>
      </c>
      <c r="R8" s="26" t="s">
        <v>1731</v>
      </c>
    </row>
    <row r="9" spans="1:18" ht="51.5" thickBot="1" x14ac:dyDescent="0.4">
      <c r="A9" s="3" t="s">
        <v>95</v>
      </c>
      <c r="B9" s="1" t="s">
        <v>1708</v>
      </c>
      <c r="C9" s="1" t="s">
        <v>292</v>
      </c>
      <c r="D9" s="1" t="s">
        <v>869</v>
      </c>
      <c r="E9" s="1" t="s">
        <v>91</v>
      </c>
      <c r="F9" s="1" t="s">
        <v>15</v>
      </c>
      <c r="G9" s="1" t="s">
        <v>97</v>
      </c>
      <c r="H9" s="1" t="s">
        <v>871</v>
      </c>
      <c r="I9" s="2" t="s">
        <v>98</v>
      </c>
      <c r="J9" s="1" t="s">
        <v>928</v>
      </c>
      <c r="K9" s="2" t="s">
        <v>1732</v>
      </c>
      <c r="L9" s="1" t="s">
        <v>1733</v>
      </c>
      <c r="M9" s="1" t="s">
        <v>1712</v>
      </c>
      <c r="N9" s="1" t="s">
        <v>1713</v>
      </c>
      <c r="O9" s="1" t="s">
        <v>1734</v>
      </c>
      <c r="P9" s="1" t="s">
        <v>540</v>
      </c>
      <c r="Q9" s="1" t="s">
        <v>454</v>
      </c>
      <c r="R9" s="26" t="s">
        <v>1735</v>
      </c>
    </row>
    <row r="10" spans="1:18" ht="51.5" thickBot="1" x14ac:dyDescent="0.4">
      <c r="A10" s="3" t="s">
        <v>589</v>
      </c>
      <c r="B10" s="1" t="s">
        <v>1708</v>
      </c>
      <c r="C10" s="1" t="s">
        <v>292</v>
      </c>
      <c r="D10" s="1" t="s">
        <v>591</v>
      </c>
      <c r="E10" s="1" t="s">
        <v>72</v>
      </c>
      <c r="F10" s="1" t="s">
        <v>15</v>
      </c>
      <c r="G10" s="1" t="s">
        <v>592</v>
      </c>
      <c r="H10" s="1" t="s">
        <v>928</v>
      </c>
      <c r="I10" s="2" t="s">
        <v>593</v>
      </c>
      <c r="J10" s="1" t="s">
        <v>928</v>
      </c>
      <c r="K10" s="2" t="s">
        <v>1736</v>
      </c>
      <c r="L10" s="1" t="s">
        <v>1737</v>
      </c>
      <c r="M10" s="1" t="s">
        <v>1558</v>
      </c>
      <c r="N10" s="1" t="s">
        <v>1727</v>
      </c>
      <c r="O10" s="1" t="s">
        <v>596</v>
      </c>
      <c r="P10" s="1" t="s">
        <v>1738</v>
      </c>
      <c r="Q10" s="1" t="s">
        <v>454</v>
      </c>
      <c r="R10" s="26" t="s">
        <v>1739</v>
      </c>
    </row>
    <row r="11" spans="1:18" ht="64" thickBot="1" x14ac:dyDescent="0.4">
      <c r="A11" s="3" t="s">
        <v>727</v>
      </c>
      <c r="B11" s="1" t="s">
        <v>1708</v>
      </c>
      <c r="C11" s="1" t="s">
        <v>292</v>
      </c>
      <c r="D11" s="1" t="s">
        <v>1740</v>
      </c>
      <c r="E11" s="1" t="s">
        <v>172</v>
      </c>
      <c r="F11" s="1" t="s">
        <v>15</v>
      </c>
      <c r="G11" s="1" t="s">
        <v>729</v>
      </c>
      <c r="H11" s="1" t="s">
        <v>928</v>
      </c>
      <c r="I11" s="1" t="s">
        <v>928</v>
      </c>
      <c r="J11" s="1" t="s">
        <v>928</v>
      </c>
      <c r="K11" s="2" t="s">
        <v>1693</v>
      </c>
      <c r="L11" s="1" t="s">
        <v>648</v>
      </c>
      <c r="M11" s="1" t="s">
        <v>1558</v>
      </c>
      <c r="N11" s="1" t="s">
        <v>1727</v>
      </c>
      <c r="O11" s="1" t="s">
        <v>1741</v>
      </c>
      <c r="P11" s="1" t="s">
        <v>1738</v>
      </c>
      <c r="Q11" s="1" t="s">
        <v>454</v>
      </c>
      <c r="R11" s="26" t="s">
        <v>1742</v>
      </c>
    </row>
    <row r="12" spans="1:18" ht="44" thickBot="1" x14ac:dyDescent="0.4">
      <c r="A12" s="3" t="s">
        <v>649</v>
      </c>
      <c r="B12" s="1" t="s">
        <v>1708</v>
      </c>
      <c r="C12" s="1" t="s">
        <v>31</v>
      </c>
      <c r="D12" s="1" t="s">
        <v>449</v>
      </c>
      <c r="E12" s="1" t="s">
        <v>14</v>
      </c>
      <c r="F12" s="1" t="s">
        <v>15</v>
      </c>
      <c r="G12" s="1" t="s">
        <v>450</v>
      </c>
      <c r="H12" s="1" t="s">
        <v>453</v>
      </c>
      <c r="I12" s="2" t="s">
        <v>451</v>
      </c>
      <c r="J12" s="1" t="s">
        <v>928</v>
      </c>
      <c r="K12" s="2" t="s">
        <v>1496</v>
      </c>
      <c r="L12" s="1" t="s">
        <v>1743</v>
      </c>
      <c r="M12" s="1" t="s">
        <v>1558</v>
      </c>
      <c r="N12" s="1" t="s">
        <v>1713</v>
      </c>
      <c r="O12" s="1" t="s">
        <v>1744</v>
      </c>
      <c r="P12" s="1" t="s">
        <v>546</v>
      </c>
      <c r="Q12" s="1" t="s">
        <v>454</v>
      </c>
      <c r="R12" s="27" t="s">
        <v>1745</v>
      </c>
    </row>
    <row r="13" spans="1:18" ht="64" thickBot="1" x14ac:dyDescent="0.4">
      <c r="A13" s="3" t="s">
        <v>217</v>
      </c>
      <c r="B13" s="1" t="s">
        <v>1708</v>
      </c>
      <c r="C13" s="1" t="s">
        <v>292</v>
      </c>
      <c r="D13" s="1" t="s">
        <v>218</v>
      </c>
      <c r="E13" s="1" t="s">
        <v>219</v>
      </c>
      <c r="F13" s="1" t="s">
        <v>15</v>
      </c>
      <c r="G13" s="1" t="s">
        <v>220</v>
      </c>
      <c r="H13" s="1" t="s">
        <v>478</v>
      </c>
      <c r="I13" s="2" t="s">
        <v>221</v>
      </c>
      <c r="J13" s="1" t="s">
        <v>928</v>
      </c>
      <c r="K13" s="2" t="s">
        <v>1535</v>
      </c>
      <c r="L13" s="1" t="s">
        <v>648</v>
      </c>
      <c r="M13" s="1" t="s">
        <v>1558</v>
      </c>
      <c r="N13" s="1" t="s">
        <v>1713</v>
      </c>
      <c r="O13" s="1" t="s">
        <v>726</v>
      </c>
      <c r="P13" s="1" t="s">
        <v>540</v>
      </c>
      <c r="Q13" s="1" t="s">
        <v>454</v>
      </c>
      <c r="R13" s="27" t="s">
        <v>1746</v>
      </c>
    </row>
    <row r="14" spans="1:18" ht="44" thickBot="1" x14ac:dyDescent="0.4">
      <c r="A14" s="3" t="s">
        <v>375</v>
      </c>
      <c r="B14" s="1" t="s">
        <v>1708</v>
      </c>
      <c r="C14" s="1" t="s">
        <v>376</v>
      </c>
      <c r="D14" s="1" t="s">
        <v>377</v>
      </c>
      <c r="E14" s="1" t="s">
        <v>219</v>
      </c>
      <c r="F14" s="1" t="s">
        <v>15</v>
      </c>
      <c r="G14" s="1" t="s">
        <v>378</v>
      </c>
      <c r="H14" s="1" t="s">
        <v>928</v>
      </c>
      <c r="I14" s="1" t="s">
        <v>928</v>
      </c>
      <c r="J14" s="1" t="s">
        <v>928</v>
      </c>
      <c r="K14" s="2" t="s">
        <v>1532</v>
      </c>
      <c r="L14" s="1" t="s">
        <v>552</v>
      </c>
      <c r="M14" s="1" t="s">
        <v>1558</v>
      </c>
      <c r="N14" s="1" t="s">
        <v>1727</v>
      </c>
      <c r="O14" s="1" t="s">
        <v>781</v>
      </c>
      <c r="P14" s="1" t="s">
        <v>546</v>
      </c>
      <c r="Q14" s="1" t="s">
        <v>454</v>
      </c>
      <c r="R14" s="26" t="s">
        <v>1747</v>
      </c>
    </row>
    <row r="15" spans="1:18" ht="44" thickBot="1" x14ac:dyDescent="0.4">
      <c r="A15" s="3" t="s">
        <v>223</v>
      </c>
      <c r="B15" s="1" t="s">
        <v>1708</v>
      </c>
      <c r="C15" s="1" t="s">
        <v>376</v>
      </c>
      <c r="D15" s="1" t="s">
        <v>224</v>
      </c>
      <c r="E15" s="1" t="s">
        <v>219</v>
      </c>
      <c r="F15" s="1" t="s">
        <v>15</v>
      </c>
      <c r="G15" s="1" t="s">
        <v>225</v>
      </c>
      <c r="H15" s="1" t="s">
        <v>928</v>
      </c>
      <c r="I15" s="1" t="s">
        <v>928</v>
      </c>
      <c r="J15" s="1" t="s">
        <v>928</v>
      </c>
      <c r="K15" s="2" t="s">
        <v>1534</v>
      </c>
      <c r="L15" s="1" t="s">
        <v>648</v>
      </c>
      <c r="M15" s="1" t="s">
        <v>1558</v>
      </c>
      <c r="N15" s="1" t="s">
        <v>1713</v>
      </c>
      <c r="O15" s="1" t="s">
        <v>726</v>
      </c>
      <c r="P15" s="1" t="s">
        <v>546</v>
      </c>
      <c r="Q15" s="1" t="s">
        <v>454</v>
      </c>
      <c r="R15" s="26" t="s">
        <v>1748</v>
      </c>
    </row>
    <row r="16" spans="1:18" ht="51.5" thickBot="1" x14ac:dyDescent="0.4">
      <c r="A16" s="3" t="s">
        <v>1646</v>
      </c>
      <c r="B16" s="1" t="s">
        <v>1708</v>
      </c>
      <c r="C16" s="1" t="s">
        <v>297</v>
      </c>
      <c r="D16" s="1" t="s">
        <v>1647</v>
      </c>
      <c r="E16" s="1" t="s">
        <v>219</v>
      </c>
      <c r="F16" s="1" t="s">
        <v>15</v>
      </c>
      <c r="G16" s="1" t="s">
        <v>1648</v>
      </c>
      <c r="H16" s="1" t="s">
        <v>928</v>
      </c>
      <c r="I16" s="1" t="s">
        <v>928</v>
      </c>
      <c r="J16" s="2" t="s">
        <v>1649</v>
      </c>
      <c r="K16" s="2" t="s">
        <v>1698</v>
      </c>
      <c r="L16" s="1" t="s">
        <v>648</v>
      </c>
      <c r="M16" s="1" t="s">
        <v>1558</v>
      </c>
      <c r="N16" s="1" t="s">
        <v>1713</v>
      </c>
      <c r="O16" s="1" t="s">
        <v>781</v>
      </c>
      <c r="P16" s="1" t="s">
        <v>546</v>
      </c>
      <c r="Q16" s="1" t="s">
        <v>454</v>
      </c>
      <c r="R16" s="26" t="s">
        <v>1749</v>
      </c>
    </row>
    <row r="17" spans="1:18" ht="51.5" thickBot="1" x14ac:dyDescent="0.4">
      <c r="A17" s="3" t="s">
        <v>1750</v>
      </c>
      <c r="B17" s="1" t="s">
        <v>1708</v>
      </c>
      <c r="C17" s="1" t="s">
        <v>82</v>
      </c>
      <c r="D17" s="1" t="s">
        <v>413</v>
      </c>
      <c r="E17" s="1" t="s">
        <v>219</v>
      </c>
      <c r="F17" s="1" t="s">
        <v>15</v>
      </c>
      <c r="G17" s="1" t="s">
        <v>928</v>
      </c>
      <c r="H17" s="1" t="s">
        <v>392</v>
      </c>
      <c r="I17" s="2" t="s">
        <v>391</v>
      </c>
      <c r="J17" s="1" t="s">
        <v>928</v>
      </c>
      <c r="K17" s="2" t="s">
        <v>1498</v>
      </c>
      <c r="L17" s="1" t="s">
        <v>717</v>
      </c>
      <c r="M17" s="1" t="s">
        <v>1558</v>
      </c>
      <c r="N17" s="1" t="s">
        <v>1713</v>
      </c>
      <c r="O17" s="1" t="s">
        <v>851</v>
      </c>
      <c r="P17" s="1" t="s">
        <v>540</v>
      </c>
      <c r="Q17" s="1" t="s">
        <v>454</v>
      </c>
      <c r="R17" s="26" t="s">
        <v>1751</v>
      </c>
    </row>
    <row r="18" spans="1:18" ht="64" thickBot="1" x14ac:dyDescent="0.4">
      <c r="A18" s="3" t="s">
        <v>362</v>
      </c>
      <c r="B18" s="1" t="s">
        <v>1708</v>
      </c>
      <c r="C18" s="1" t="s">
        <v>25</v>
      </c>
      <c r="D18" s="1" t="s">
        <v>1582</v>
      </c>
      <c r="E18" s="1" t="s">
        <v>276</v>
      </c>
      <c r="F18" s="1" t="s">
        <v>15</v>
      </c>
      <c r="G18" s="1" t="s">
        <v>847</v>
      </c>
      <c r="H18" s="1" t="s">
        <v>848</v>
      </c>
      <c r="I18" s="2" t="s">
        <v>366</v>
      </c>
      <c r="J18" s="1" t="s">
        <v>928</v>
      </c>
      <c r="K18" s="2" t="s">
        <v>1545</v>
      </c>
      <c r="L18" s="1" t="s">
        <v>1752</v>
      </c>
      <c r="M18" s="1" t="s">
        <v>1558</v>
      </c>
      <c r="N18" s="1" t="s">
        <v>1713</v>
      </c>
      <c r="O18" s="1" t="s">
        <v>1089</v>
      </c>
      <c r="P18" s="1" t="s">
        <v>546</v>
      </c>
      <c r="Q18" s="1" t="s">
        <v>454</v>
      </c>
      <c r="R18" s="26" t="s">
        <v>1753</v>
      </c>
    </row>
    <row r="19" spans="1:18" ht="44" thickBot="1" x14ac:dyDescent="0.4">
      <c r="A19" s="3" t="s">
        <v>1754</v>
      </c>
      <c r="B19" s="1" t="s">
        <v>1708</v>
      </c>
      <c r="C19" s="1" t="s">
        <v>31</v>
      </c>
      <c r="D19" s="1" t="s">
        <v>1755</v>
      </c>
      <c r="E19" s="1" t="s">
        <v>104</v>
      </c>
      <c r="F19" s="1" t="s">
        <v>15</v>
      </c>
      <c r="G19" s="1" t="s">
        <v>1798</v>
      </c>
      <c r="H19" s="1" t="s">
        <v>928</v>
      </c>
      <c r="I19" s="1" t="s">
        <v>928</v>
      </c>
      <c r="J19" s="1" t="s">
        <v>928</v>
      </c>
      <c r="K19" s="2" t="s">
        <v>1756</v>
      </c>
      <c r="L19" s="1" t="s">
        <v>1757</v>
      </c>
      <c r="M19" s="1" t="s">
        <v>1758</v>
      </c>
      <c r="N19" s="1" t="s">
        <v>1727</v>
      </c>
      <c r="O19" s="1" t="s">
        <v>781</v>
      </c>
      <c r="P19" s="1" t="s">
        <v>546</v>
      </c>
      <c r="Q19" s="1" t="s">
        <v>454</v>
      </c>
      <c r="R19" s="26" t="s">
        <v>1731</v>
      </c>
    </row>
    <row r="20" spans="1:18" ht="51.5" thickBot="1" x14ac:dyDescent="0.4">
      <c r="A20" s="3" t="s">
        <v>357</v>
      </c>
      <c r="B20" s="1" t="s">
        <v>1708</v>
      </c>
      <c r="C20" s="1" t="s">
        <v>292</v>
      </c>
      <c r="D20" s="1" t="s">
        <v>358</v>
      </c>
      <c r="E20" s="1" t="s">
        <v>172</v>
      </c>
      <c r="F20" s="1" t="s">
        <v>15</v>
      </c>
      <c r="G20" s="1" t="s">
        <v>928</v>
      </c>
      <c r="H20" s="1" t="s">
        <v>928</v>
      </c>
      <c r="I20" s="1" t="s">
        <v>928</v>
      </c>
      <c r="J20" s="1" t="s">
        <v>928</v>
      </c>
      <c r="K20" s="2" t="s">
        <v>1468</v>
      </c>
      <c r="L20" s="1" t="s">
        <v>1759</v>
      </c>
      <c r="M20" s="1" t="s">
        <v>1558</v>
      </c>
      <c r="N20" s="1" t="s">
        <v>1713</v>
      </c>
      <c r="O20" s="1" t="s">
        <v>781</v>
      </c>
      <c r="P20" s="1" t="s">
        <v>546</v>
      </c>
      <c r="Q20" s="1" t="s">
        <v>454</v>
      </c>
      <c r="R20" s="26" t="s">
        <v>1760</v>
      </c>
    </row>
    <row r="21" spans="1:18" ht="44" thickBot="1" x14ac:dyDescent="0.4">
      <c r="A21" s="3" t="s">
        <v>183</v>
      </c>
      <c r="B21" s="1" t="s">
        <v>1708</v>
      </c>
      <c r="C21" s="1" t="s">
        <v>297</v>
      </c>
      <c r="D21" s="1" t="s">
        <v>184</v>
      </c>
      <c r="E21" s="1" t="s">
        <v>172</v>
      </c>
      <c r="F21" s="1" t="s">
        <v>15</v>
      </c>
      <c r="G21" s="1" t="s">
        <v>185</v>
      </c>
      <c r="H21" s="1" t="s">
        <v>475</v>
      </c>
      <c r="I21" s="2" t="s">
        <v>186</v>
      </c>
      <c r="J21" s="1" t="s">
        <v>928</v>
      </c>
      <c r="K21" s="2" t="s">
        <v>1761</v>
      </c>
      <c r="L21" s="1" t="s">
        <v>624</v>
      </c>
      <c r="M21" s="1" t="s">
        <v>1558</v>
      </c>
      <c r="N21" s="1" t="s">
        <v>1713</v>
      </c>
      <c r="O21" s="1" t="s">
        <v>539</v>
      </c>
      <c r="P21" s="1" t="s">
        <v>546</v>
      </c>
      <c r="Q21" s="1" t="s">
        <v>454</v>
      </c>
      <c r="R21" s="26" t="s">
        <v>1762</v>
      </c>
    </row>
    <row r="22" spans="1:18" ht="51.5" thickBot="1" x14ac:dyDescent="0.4">
      <c r="A22" s="3" t="s">
        <v>430</v>
      </c>
      <c r="B22" s="1" t="s">
        <v>1708</v>
      </c>
      <c r="C22" s="1" t="s">
        <v>292</v>
      </c>
      <c r="D22" s="1" t="s">
        <v>431</v>
      </c>
      <c r="E22" s="1" t="s">
        <v>122</v>
      </c>
      <c r="F22" s="1" t="s">
        <v>15</v>
      </c>
      <c r="G22" s="1" t="s">
        <v>433</v>
      </c>
      <c r="H22" s="1" t="s">
        <v>435</v>
      </c>
      <c r="I22" s="2" t="s">
        <v>436</v>
      </c>
      <c r="J22" s="1" t="s">
        <v>928</v>
      </c>
      <c r="K22" s="2" t="s">
        <v>1540</v>
      </c>
      <c r="L22" s="1" t="s">
        <v>1763</v>
      </c>
      <c r="M22" s="1" t="s">
        <v>1558</v>
      </c>
      <c r="N22" s="1" t="s">
        <v>1713</v>
      </c>
      <c r="O22" s="1" t="s">
        <v>851</v>
      </c>
      <c r="P22" s="1" t="s">
        <v>1722</v>
      </c>
      <c r="Q22" s="1" t="s">
        <v>454</v>
      </c>
      <c r="R22" s="26" t="s">
        <v>1764</v>
      </c>
    </row>
    <row r="23" spans="1:18" ht="44" thickBot="1" x14ac:dyDescent="0.4">
      <c r="A23" s="3" t="s">
        <v>720</v>
      </c>
      <c r="B23" s="1" t="s">
        <v>1708</v>
      </c>
      <c r="C23" s="1" t="s">
        <v>376</v>
      </c>
      <c r="D23" s="1" t="s">
        <v>1386</v>
      </c>
      <c r="E23" s="1" t="s">
        <v>172</v>
      </c>
      <c r="F23" s="1" t="s">
        <v>15</v>
      </c>
      <c r="G23" s="1" t="s">
        <v>723</v>
      </c>
      <c r="H23" s="1" t="s">
        <v>928</v>
      </c>
      <c r="I23" s="1" t="s">
        <v>928</v>
      </c>
      <c r="J23" s="2" t="s">
        <v>724</v>
      </c>
      <c r="K23" s="2" t="s">
        <v>1467</v>
      </c>
      <c r="L23" s="1" t="s">
        <v>648</v>
      </c>
      <c r="M23" s="1" t="s">
        <v>1558</v>
      </c>
      <c r="N23" s="1" t="s">
        <v>1713</v>
      </c>
      <c r="O23" s="1" t="s">
        <v>981</v>
      </c>
      <c r="P23" s="1" t="s">
        <v>546</v>
      </c>
      <c r="Q23" s="1" t="s">
        <v>454</v>
      </c>
      <c r="R23" s="26" t="s">
        <v>1765</v>
      </c>
    </row>
    <row r="24" spans="1:18" ht="44" thickBot="1" x14ac:dyDescent="0.4">
      <c r="A24" s="3" t="s">
        <v>1766</v>
      </c>
      <c r="B24" s="1" t="s">
        <v>1708</v>
      </c>
      <c r="C24" s="1" t="s">
        <v>25</v>
      </c>
      <c r="D24" s="1" t="s">
        <v>1663</v>
      </c>
      <c r="E24" s="1" t="s">
        <v>14</v>
      </c>
      <c r="F24" s="1" t="s">
        <v>15</v>
      </c>
      <c r="G24" s="1" t="s">
        <v>928</v>
      </c>
      <c r="H24" s="1" t="s">
        <v>928</v>
      </c>
      <c r="I24" s="1" t="s">
        <v>928</v>
      </c>
      <c r="J24" s="1" t="s">
        <v>928</v>
      </c>
      <c r="K24" s="2" t="s">
        <v>1701</v>
      </c>
      <c r="L24" s="1" t="s">
        <v>1767</v>
      </c>
      <c r="M24" s="1" t="s">
        <v>1558</v>
      </c>
      <c r="N24" s="1" t="s">
        <v>1713</v>
      </c>
      <c r="O24" s="1" t="s">
        <v>1768</v>
      </c>
      <c r="P24" s="1" t="s">
        <v>546</v>
      </c>
      <c r="Q24" s="1" t="s">
        <v>454</v>
      </c>
      <c r="R24" s="26" t="s">
        <v>1769</v>
      </c>
    </row>
    <row r="25" spans="1:18" ht="51.5" thickBot="1" x14ac:dyDescent="0.4">
      <c r="A25" s="3" t="s">
        <v>1770</v>
      </c>
      <c r="B25" s="1" t="s">
        <v>1708</v>
      </c>
      <c r="C25" s="1" t="s">
        <v>82</v>
      </c>
      <c r="D25" s="1" t="s">
        <v>1771</v>
      </c>
      <c r="E25" s="1" t="s">
        <v>14</v>
      </c>
      <c r="F25" s="1" t="s">
        <v>15</v>
      </c>
      <c r="G25" s="1" t="s">
        <v>1799</v>
      </c>
      <c r="H25" s="1" t="s">
        <v>1635</v>
      </c>
      <c r="I25" s="2" t="s">
        <v>1246</v>
      </c>
      <c r="J25" s="1" t="s">
        <v>928</v>
      </c>
      <c r="K25" s="2" t="s">
        <v>1696</v>
      </c>
      <c r="L25" s="1" t="s">
        <v>1733</v>
      </c>
      <c r="M25" s="1" t="s">
        <v>1558</v>
      </c>
      <c r="N25" s="1" t="s">
        <v>1713</v>
      </c>
      <c r="O25" s="1" t="s">
        <v>1772</v>
      </c>
      <c r="P25" s="1" t="s">
        <v>540</v>
      </c>
      <c r="Q25" s="1" t="s">
        <v>454</v>
      </c>
      <c r="R25" s="26" t="s">
        <v>1773</v>
      </c>
    </row>
    <row r="26" spans="1:18" ht="44" thickBot="1" x14ac:dyDescent="0.4">
      <c r="A26" s="3" t="s">
        <v>1774</v>
      </c>
      <c r="B26" s="1" t="s">
        <v>1708</v>
      </c>
      <c r="C26" s="1" t="s">
        <v>31</v>
      </c>
      <c r="D26" s="1" t="s">
        <v>1775</v>
      </c>
      <c r="E26" s="1" t="s">
        <v>91</v>
      </c>
      <c r="F26" s="1" t="s">
        <v>15</v>
      </c>
      <c r="G26" s="1" t="s">
        <v>1800</v>
      </c>
      <c r="H26" s="1" t="s">
        <v>1129</v>
      </c>
      <c r="I26" s="2" t="s">
        <v>1776</v>
      </c>
      <c r="J26" s="1" t="s">
        <v>928</v>
      </c>
      <c r="K26" s="2" t="s">
        <v>1504</v>
      </c>
      <c r="L26" s="1" t="s">
        <v>1777</v>
      </c>
      <c r="M26" s="1" t="s">
        <v>1558</v>
      </c>
      <c r="N26" s="1" t="s">
        <v>1713</v>
      </c>
      <c r="O26" s="1" t="s">
        <v>1744</v>
      </c>
      <c r="P26" s="1" t="s">
        <v>546</v>
      </c>
      <c r="Q26" s="1" t="s">
        <v>454</v>
      </c>
      <c r="R26" s="26" t="s">
        <v>1778</v>
      </c>
    </row>
    <row r="27" spans="1:18" ht="51.5" thickBot="1" x14ac:dyDescent="0.4">
      <c r="A27" s="3" t="s">
        <v>1550</v>
      </c>
      <c r="B27" s="1" t="s">
        <v>1708</v>
      </c>
      <c r="C27" s="1" t="s">
        <v>292</v>
      </c>
      <c r="D27" s="1" t="s">
        <v>1552</v>
      </c>
      <c r="E27" s="1" t="s">
        <v>72</v>
      </c>
      <c r="F27" s="1" t="s">
        <v>15</v>
      </c>
      <c r="G27" s="1" t="s">
        <v>1553</v>
      </c>
      <c r="H27" s="1" t="s">
        <v>1554</v>
      </c>
      <c r="I27" s="2" t="s">
        <v>1555</v>
      </c>
      <c r="J27" s="2" t="s">
        <v>1556</v>
      </c>
      <c r="K27" s="2" t="s">
        <v>1691</v>
      </c>
      <c r="L27" s="1" t="s">
        <v>1779</v>
      </c>
      <c r="M27" s="1" t="s">
        <v>1558</v>
      </c>
      <c r="N27" s="1" t="s">
        <v>1713</v>
      </c>
      <c r="O27" s="1" t="s">
        <v>1780</v>
      </c>
      <c r="P27" s="1" t="s">
        <v>540</v>
      </c>
      <c r="Q27" s="1" t="s">
        <v>454</v>
      </c>
      <c r="R27" s="26" t="s">
        <v>1781</v>
      </c>
    </row>
    <row r="28" spans="1:18" ht="44" thickBot="1" x14ac:dyDescent="0.4">
      <c r="A28" s="3" t="s">
        <v>1782</v>
      </c>
      <c r="B28" s="1" t="s">
        <v>1708</v>
      </c>
      <c r="C28" s="1" t="s">
        <v>82</v>
      </c>
      <c r="D28" s="1" t="s">
        <v>1783</v>
      </c>
      <c r="E28" s="1" t="s">
        <v>1652</v>
      </c>
      <c r="F28" s="1" t="s">
        <v>15</v>
      </c>
      <c r="G28" s="1" t="s">
        <v>1653</v>
      </c>
      <c r="H28" s="1" t="s">
        <v>856</v>
      </c>
      <c r="I28" s="2" t="s">
        <v>1655</v>
      </c>
      <c r="J28" s="1" t="s">
        <v>928</v>
      </c>
      <c r="K28" s="2" t="s">
        <v>1784</v>
      </c>
      <c r="L28" s="1" t="s">
        <v>1711</v>
      </c>
      <c r="M28" s="1" t="s">
        <v>1558</v>
      </c>
      <c r="N28" s="1" t="s">
        <v>1713</v>
      </c>
      <c r="O28" s="1" t="s">
        <v>1089</v>
      </c>
      <c r="P28" s="1" t="s">
        <v>546</v>
      </c>
      <c r="Q28" s="1" t="s">
        <v>454</v>
      </c>
      <c r="R28" s="26" t="s">
        <v>1785</v>
      </c>
    </row>
    <row r="29" spans="1:18" ht="44" thickBot="1" x14ac:dyDescent="0.4">
      <c r="A29" s="3" t="s">
        <v>1786</v>
      </c>
      <c r="B29" s="1" t="s">
        <v>1708</v>
      </c>
      <c r="C29" s="1" t="s">
        <v>31</v>
      </c>
      <c r="D29" s="1" t="s">
        <v>1787</v>
      </c>
      <c r="E29" s="1" t="s">
        <v>257</v>
      </c>
      <c r="F29" s="1" t="s">
        <v>15</v>
      </c>
      <c r="G29" s="1" t="s">
        <v>825</v>
      </c>
      <c r="H29" s="1" t="s">
        <v>826</v>
      </c>
      <c r="I29" s="2" t="s">
        <v>827</v>
      </c>
      <c r="J29" s="1" t="s">
        <v>928</v>
      </c>
      <c r="K29" s="2" t="s">
        <v>1490</v>
      </c>
      <c r="L29" s="1" t="s">
        <v>1788</v>
      </c>
      <c r="M29" s="1" t="s">
        <v>1558</v>
      </c>
      <c r="N29" s="1" t="s">
        <v>1713</v>
      </c>
      <c r="O29" s="1" t="s">
        <v>781</v>
      </c>
      <c r="P29" s="1" t="s">
        <v>546</v>
      </c>
      <c r="Q29" s="1" t="s">
        <v>454</v>
      </c>
      <c r="R29" s="26" t="s">
        <v>1789</v>
      </c>
    </row>
    <row r="30" spans="1:18" ht="44" thickBot="1" x14ac:dyDescent="0.4">
      <c r="A30" s="3" t="s">
        <v>140</v>
      </c>
      <c r="B30" s="1" t="s">
        <v>1708</v>
      </c>
      <c r="C30" s="1" t="s">
        <v>292</v>
      </c>
      <c r="D30" s="1" t="s">
        <v>1790</v>
      </c>
      <c r="E30" s="1" t="s">
        <v>142</v>
      </c>
      <c r="F30" s="1" t="s">
        <v>15</v>
      </c>
      <c r="G30" s="1" t="s">
        <v>143</v>
      </c>
      <c r="H30" s="1" t="s">
        <v>928</v>
      </c>
      <c r="I30" s="1" t="s">
        <v>928</v>
      </c>
      <c r="J30" s="1" t="s">
        <v>928</v>
      </c>
      <c r="K30" s="2" t="s">
        <v>1459</v>
      </c>
      <c r="L30" s="1" t="s">
        <v>1791</v>
      </c>
      <c r="M30" s="1" t="s">
        <v>1558</v>
      </c>
      <c r="N30" s="1" t="s">
        <v>1713</v>
      </c>
      <c r="O30" s="1" t="s">
        <v>726</v>
      </c>
      <c r="P30" s="1" t="s">
        <v>546</v>
      </c>
      <c r="Q30" s="1" t="s">
        <v>455</v>
      </c>
      <c r="R30" s="26" t="s">
        <v>101</v>
      </c>
    </row>
    <row r="31" spans="1:18" ht="64" thickBot="1" x14ac:dyDescent="0.4">
      <c r="A31" s="7" t="s">
        <v>1792</v>
      </c>
      <c r="B31" s="8" t="s">
        <v>1708</v>
      </c>
      <c r="C31" s="8" t="s">
        <v>292</v>
      </c>
      <c r="D31" s="8" t="s">
        <v>1793</v>
      </c>
      <c r="E31" s="8" t="s">
        <v>1652</v>
      </c>
      <c r="F31" s="8" t="s">
        <v>15</v>
      </c>
      <c r="G31" s="36" t="s">
        <v>1710</v>
      </c>
      <c r="H31" s="8" t="s">
        <v>856</v>
      </c>
      <c r="I31" s="9" t="s">
        <v>1794</v>
      </c>
      <c r="J31" s="9" t="s">
        <v>858</v>
      </c>
      <c r="K31" s="1" t="s">
        <v>928</v>
      </c>
      <c r="L31" s="8" t="s">
        <v>552</v>
      </c>
      <c r="M31" s="8" t="s">
        <v>1795</v>
      </c>
      <c r="N31" s="8" t="s">
        <v>1713</v>
      </c>
      <c r="O31" s="8" t="s">
        <v>861</v>
      </c>
      <c r="P31" s="8" t="s">
        <v>1796</v>
      </c>
      <c r="Q31" s="8" t="s">
        <v>454</v>
      </c>
      <c r="R31" s="37" t="s">
        <v>1797</v>
      </c>
    </row>
    <row r="35" spans="1:2" x14ac:dyDescent="0.35">
      <c r="A35" s="23" t="s">
        <v>1229</v>
      </c>
      <c r="B35" s="23">
        <f>COUNTIF($Q$2:$Q$31,"Yes")</f>
        <v>29</v>
      </c>
    </row>
    <row r="36" spans="1:2" x14ac:dyDescent="0.35">
      <c r="A36" s="23" t="s">
        <v>459</v>
      </c>
      <c r="B36" s="23">
        <f>COUNTIF($G$2:$G$31,"N/A")</f>
        <v>3</v>
      </c>
    </row>
    <row r="37" spans="1:2" x14ac:dyDescent="0.35">
      <c r="A37" s="23" t="s">
        <v>458</v>
      </c>
      <c r="B37" s="23">
        <f>COUNTIF($H$2:$H$31,"N/A")</f>
        <v>12</v>
      </c>
    </row>
    <row r="38" spans="1:2" x14ac:dyDescent="0.35">
      <c r="A38" s="23" t="s">
        <v>457</v>
      </c>
      <c r="B38" s="23">
        <f>COUNTIF($I$2:$I$31,"N/A")</f>
        <v>12</v>
      </c>
    </row>
  </sheetData>
  <hyperlinks>
    <hyperlink ref="I2" r:id="rId1" xr:uid="{5B37C402-1E04-452A-BEE0-5E1B73A04ADA}"/>
    <hyperlink ref="J2" r:id="rId2" xr:uid="{0EABD0A3-A402-40B2-BFFB-59D02FA77E26}"/>
    <hyperlink ref="K2" r:id="rId3" xr:uid="{02B551C9-378B-4BDC-BC1F-A39F76F91F33}"/>
    <hyperlink ref="I3" r:id="rId4" xr:uid="{ED9AB884-BDD2-44B9-A066-EA3913D781AB}"/>
    <hyperlink ref="K3" r:id="rId5" xr:uid="{777BF8B2-C20D-43A7-9E82-CD8B350AA161}"/>
    <hyperlink ref="J4" r:id="rId6" xr:uid="{4D21D63A-454A-4091-8519-C0AD4EFE7E85}"/>
    <hyperlink ref="K4" r:id="rId7" xr:uid="{9C471D4A-5531-4C36-9A86-DA08BD987B21}"/>
    <hyperlink ref="K5" r:id="rId8" xr:uid="{84772BFE-C94B-4B52-A8B6-0DC416A6C743}"/>
    <hyperlink ref="I6" r:id="rId9" xr:uid="{55CB9CD0-F752-4BEE-9AD1-70C3CAC256C2}"/>
    <hyperlink ref="K6" r:id="rId10" xr:uid="{FBDBC283-259C-4466-8411-55F0A4F55DF8}"/>
    <hyperlink ref="I7" r:id="rId11" xr:uid="{065ABF66-AEE3-49DB-83E0-E3106D111DE8}"/>
    <hyperlink ref="K7" r:id="rId12" xr:uid="{527E1F40-98A7-4E92-9CCE-C76964DF99BE}"/>
    <hyperlink ref="K8" r:id="rId13" xr:uid="{85173109-6C67-48C9-A9C1-42AAF7EDF1D4}"/>
    <hyperlink ref="I9" r:id="rId14" xr:uid="{0AD9C998-C618-44C6-B1C9-D57B81A8611B}"/>
    <hyperlink ref="K9" r:id="rId15" xr:uid="{0860E9AE-F690-45ED-AC9D-4BAD2D662001}"/>
    <hyperlink ref="I10" r:id="rId16" xr:uid="{DF70DE42-B913-4748-B603-10F547B2D34A}"/>
    <hyperlink ref="K10" r:id="rId17" xr:uid="{D5A2BE4C-6D18-4422-A657-93C563E9C3A8}"/>
    <hyperlink ref="K11" r:id="rId18" xr:uid="{B7478E45-1C37-4163-83F9-94DBAEE1A742}"/>
    <hyperlink ref="I12" r:id="rId19" xr:uid="{D932C2F0-9A78-488A-A099-7A4AB8F828A5}"/>
    <hyperlink ref="K12" r:id="rId20" xr:uid="{9C25641F-C665-402F-9D90-9EC695D99B2E}"/>
    <hyperlink ref="I13" r:id="rId21" xr:uid="{A0258C23-089B-40EB-B0DD-1F5928EA103F}"/>
    <hyperlink ref="K13" r:id="rId22" xr:uid="{EE30FA31-A99C-4F8B-B970-104BEE3841B7}"/>
    <hyperlink ref="K14" r:id="rId23" xr:uid="{EEDFB23A-2C35-4BF2-B03D-083FF3E06436}"/>
    <hyperlink ref="K15" r:id="rId24" xr:uid="{35D1F6DD-F3F4-480E-8E61-6A03A458B28D}"/>
    <hyperlink ref="J16" r:id="rId25" xr:uid="{2E9540B4-2950-4C0A-8BE4-E9DE2327B170}"/>
    <hyperlink ref="K16" r:id="rId26" xr:uid="{B7A4CB82-BD90-4A5D-AE7D-271ACC803E58}"/>
    <hyperlink ref="I17" r:id="rId27" xr:uid="{76D90B91-0D98-4D91-AF19-1FC88C1EF5EC}"/>
    <hyperlink ref="K17" r:id="rId28" xr:uid="{4BC8F5D0-96FD-4EB1-93C0-D3D5B6F531C8}"/>
    <hyperlink ref="I18" r:id="rId29" xr:uid="{A2A05CBB-1CE6-4C77-806C-913163E67F6B}"/>
    <hyperlink ref="K18" r:id="rId30" xr:uid="{BBC31C5C-EC0A-42DB-A0CE-E0978E525A5B}"/>
    <hyperlink ref="K19" r:id="rId31" xr:uid="{C5B3628B-D566-4FEB-9121-03FF1D15089E}"/>
    <hyperlink ref="K20" r:id="rId32" xr:uid="{C7881491-A112-4483-AE4D-81D10E5AA1EA}"/>
    <hyperlink ref="I21" r:id="rId33" xr:uid="{2CF34336-626D-4FB2-8D8A-6B9BF7A1C924}"/>
    <hyperlink ref="K21" r:id="rId34" xr:uid="{18C4B652-822E-4BF7-A39F-D8A8E93A42C2}"/>
    <hyperlink ref="I22" r:id="rId35" xr:uid="{D7E5270E-CC07-43E4-B418-7543CE096A55}"/>
    <hyperlink ref="K22" r:id="rId36" xr:uid="{88BD8B42-EA30-45C8-998D-BBF83EF28505}"/>
    <hyperlink ref="J23" r:id="rId37" xr:uid="{DCC6E0BF-6C6A-4079-AF6C-5A10B83D8A9B}"/>
    <hyperlink ref="K23" r:id="rId38" xr:uid="{65F36FA2-B104-4E24-B940-4A951F990190}"/>
    <hyperlink ref="K24" r:id="rId39" xr:uid="{2B9C262F-788E-4A98-9CBE-6A09D277F48B}"/>
    <hyperlink ref="I25" r:id="rId40" xr:uid="{D5998F6A-4BBD-4B5E-A9D9-27D26F59803F}"/>
    <hyperlink ref="K25" r:id="rId41" xr:uid="{D0284F01-4818-4F29-9F39-6957455ECA59}"/>
    <hyperlink ref="I26" r:id="rId42" xr:uid="{CB4B58C8-D2A6-4D58-8157-826DBB6F7871}"/>
    <hyperlink ref="K26" r:id="rId43" xr:uid="{7BA843FA-B2E7-4F7D-B71A-1B1CFE64AF5B}"/>
    <hyperlink ref="I27" r:id="rId44" xr:uid="{EACE3B86-26B6-48A4-9F6E-5144035450B1}"/>
    <hyperlink ref="J27" r:id="rId45" xr:uid="{9CFCCA78-5FB9-4780-B21F-1AA78D562A52}"/>
    <hyperlink ref="K27" r:id="rId46" xr:uid="{4F08264A-41FF-4BBF-8788-5E2FFA61988C}"/>
    <hyperlink ref="I28" r:id="rId47" xr:uid="{F092FB1D-BD69-49CA-8238-134731B0F8E4}"/>
    <hyperlink ref="K28" r:id="rId48" xr:uid="{008BACA2-8CED-4C85-A3EC-372613036358}"/>
    <hyperlink ref="I29" r:id="rId49" xr:uid="{02770811-0BA8-4B1E-B28B-E044554E2EB1}"/>
    <hyperlink ref="K29" r:id="rId50" xr:uid="{31A31377-1DA4-428E-BEF6-D0111741ABFA}"/>
    <hyperlink ref="K30" r:id="rId51" xr:uid="{7B090386-963E-4BFB-AEC0-A31672E0EB79}"/>
    <hyperlink ref="I31" r:id="rId52" xr:uid="{02C22933-DC77-4C4D-8736-1EBE0E3C458F}"/>
    <hyperlink ref="J31" r:id="rId53" xr:uid="{7BF99A87-32C7-4726-BB26-1DB5617BB22F}"/>
  </hyperlinks>
  <pageMargins left="0.7" right="0.7" top="0.75" bottom="0.75" header="0.3" footer="0.3"/>
  <tableParts count="1">
    <tablePart r:id="rId5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27CE-96D6-446C-B7F5-C2FA507C6136}">
  <dimension ref="A1:Q54"/>
  <sheetViews>
    <sheetView topLeftCell="A45" workbookViewId="0">
      <selection activeCell="B51" sqref="B51"/>
    </sheetView>
  </sheetViews>
  <sheetFormatPr defaultRowHeight="14.5" x14ac:dyDescent="0.35"/>
  <cols>
    <col min="1" max="1" width="28.08984375" customWidth="1"/>
    <col min="3" max="3" width="18.36328125" customWidth="1"/>
    <col min="4" max="4" width="42" customWidth="1"/>
    <col min="5" max="5" width="14.6328125" customWidth="1"/>
    <col min="6" max="6" width="13.7265625" customWidth="1"/>
    <col min="7" max="7" width="15.81640625" customWidth="1"/>
    <col min="8" max="8" width="31.81640625" customWidth="1"/>
    <col min="9" max="9" width="33.81640625" customWidth="1"/>
    <col min="10" max="10" width="29.54296875" customWidth="1"/>
    <col min="11" max="11" width="33" customWidth="1"/>
    <col min="12" max="12" width="30.26953125" customWidth="1"/>
    <col min="13" max="13" width="28.453125" customWidth="1"/>
    <col min="14" max="14" width="16.1796875" customWidth="1"/>
    <col min="15" max="15" width="24.36328125" customWidth="1"/>
    <col min="16" max="16" width="22.453125" customWidth="1"/>
    <col min="17" max="17" width="18.81640625" customWidth="1"/>
  </cols>
  <sheetData>
    <row r="1" spans="1:17" ht="15" thickBot="1" x14ac:dyDescent="0.4">
      <c r="A1" s="43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283</v>
      </c>
      <c r="I1" s="44" t="s">
        <v>485</v>
      </c>
      <c r="J1" s="44" t="s">
        <v>486</v>
      </c>
      <c r="K1" s="44" t="s">
        <v>7</v>
      </c>
      <c r="L1" s="44" t="s">
        <v>487</v>
      </c>
      <c r="M1" s="44" t="s">
        <v>1801</v>
      </c>
      <c r="N1" s="44" t="s">
        <v>488</v>
      </c>
      <c r="O1" s="44" t="s">
        <v>489</v>
      </c>
      <c r="P1" s="44" t="s">
        <v>8</v>
      </c>
      <c r="Q1" s="45" t="s">
        <v>9</v>
      </c>
    </row>
    <row r="2" spans="1:17" ht="39" thickBot="1" x14ac:dyDescent="0.4">
      <c r="A2" s="46" t="s">
        <v>1802</v>
      </c>
      <c r="B2" s="47" t="s">
        <v>1803</v>
      </c>
      <c r="C2" s="47" t="s">
        <v>12</v>
      </c>
      <c r="D2" s="48" t="s">
        <v>2572</v>
      </c>
      <c r="E2" s="48" t="s">
        <v>14</v>
      </c>
      <c r="F2" s="48" t="s">
        <v>15</v>
      </c>
      <c r="G2" s="47" t="s">
        <v>1804</v>
      </c>
      <c r="H2" s="48" t="s">
        <v>928</v>
      </c>
      <c r="I2" s="48" t="s">
        <v>928</v>
      </c>
      <c r="J2" s="48" t="s">
        <v>928</v>
      </c>
      <c r="K2" s="48" t="s">
        <v>1805</v>
      </c>
      <c r="L2" s="48" t="s">
        <v>2573</v>
      </c>
      <c r="M2" s="48" t="s">
        <v>1806</v>
      </c>
      <c r="N2" s="48" t="s">
        <v>2574</v>
      </c>
      <c r="O2" s="48" t="s">
        <v>2575</v>
      </c>
      <c r="P2" s="47" t="s">
        <v>454</v>
      </c>
      <c r="Q2" s="49" t="s">
        <v>1807</v>
      </c>
    </row>
    <row r="3" spans="1:17" ht="39" thickBot="1" x14ac:dyDescent="0.4">
      <c r="A3" s="46" t="s">
        <v>1808</v>
      </c>
      <c r="B3" s="47" t="s">
        <v>1803</v>
      </c>
      <c r="C3" s="47" t="s">
        <v>12</v>
      </c>
      <c r="D3" s="48" t="s">
        <v>2576</v>
      </c>
      <c r="E3" s="48" t="s">
        <v>78</v>
      </c>
      <c r="F3" s="48" t="s">
        <v>15</v>
      </c>
      <c r="G3" s="47" t="s">
        <v>1804</v>
      </c>
      <c r="H3" s="48" t="s">
        <v>928</v>
      </c>
      <c r="I3" s="48" t="s">
        <v>928</v>
      </c>
      <c r="J3" s="48" t="s">
        <v>928</v>
      </c>
      <c r="K3" s="48" t="s">
        <v>1809</v>
      </c>
      <c r="L3" s="48" t="s">
        <v>1810</v>
      </c>
      <c r="M3" s="48" t="s">
        <v>1811</v>
      </c>
      <c r="N3" s="48" t="s">
        <v>2577</v>
      </c>
      <c r="O3" s="48" t="s">
        <v>1812</v>
      </c>
      <c r="P3" s="47" t="s">
        <v>454</v>
      </c>
      <c r="Q3" s="49" t="s">
        <v>1807</v>
      </c>
    </row>
    <row r="4" spans="1:17" ht="39" thickBot="1" x14ac:dyDescent="0.4">
      <c r="A4" s="46" t="s">
        <v>1813</v>
      </c>
      <c r="B4" s="47" t="s">
        <v>1803</v>
      </c>
      <c r="C4" s="47" t="s">
        <v>12</v>
      </c>
      <c r="D4" s="48" t="s">
        <v>2578</v>
      </c>
      <c r="E4" s="48" t="s">
        <v>54</v>
      </c>
      <c r="F4" s="48" t="s">
        <v>15</v>
      </c>
      <c r="G4" s="47" t="s">
        <v>1814</v>
      </c>
      <c r="H4" s="48" t="s">
        <v>928</v>
      </c>
      <c r="I4" s="48" t="s">
        <v>928</v>
      </c>
      <c r="J4" s="48" t="s">
        <v>928</v>
      </c>
      <c r="K4" s="48" t="s">
        <v>1815</v>
      </c>
      <c r="L4" s="48" t="s">
        <v>1816</v>
      </c>
      <c r="M4" s="48" t="s">
        <v>1817</v>
      </c>
      <c r="N4" s="48" t="s">
        <v>2579</v>
      </c>
      <c r="O4" s="48" t="s">
        <v>540</v>
      </c>
      <c r="P4" s="47" t="s">
        <v>454</v>
      </c>
      <c r="Q4" s="49" t="s">
        <v>1818</v>
      </c>
    </row>
    <row r="5" spans="1:17" ht="51.5" thickBot="1" x14ac:dyDescent="0.4">
      <c r="A5" s="46" t="s">
        <v>1819</v>
      </c>
      <c r="B5" s="47" t="s">
        <v>1803</v>
      </c>
      <c r="C5" s="47" t="s">
        <v>1820</v>
      </c>
      <c r="D5" s="48" t="s">
        <v>2580</v>
      </c>
      <c r="E5" s="48" t="s">
        <v>51</v>
      </c>
      <c r="F5" s="48" t="s">
        <v>15</v>
      </c>
      <c r="G5" s="47" t="s">
        <v>1821</v>
      </c>
      <c r="H5" s="48" t="s">
        <v>928</v>
      </c>
      <c r="I5" s="48" t="s">
        <v>1822</v>
      </c>
      <c r="J5" s="48" t="s">
        <v>928</v>
      </c>
      <c r="K5" s="48" t="s">
        <v>1823</v>
      </c>
      <c r="L5" s="48" t="s">
        <v>2581</v>
      </c>
      <c r="M5" s="48" t="s">
        <v>1824</v>
      </c>
      <c r="N5" s="48" t="s">
        <v>2582</v>
      </c>
      <c r="O5" s="48" t="s">
        <v>1825</v>
      </c>
      <c r="P5" s="47" t="s">
        <v>454</v>
      </c>
      <c r="Q5" s="49" t="s">
        <v>945</v>
      </c>
    </row>
    <row r="6" spans="1:17" ht="39" thickBot="1" x14ac:dyDescent="0.4">
      <c r="A6" s="46" t="s">
        <v>1826</v>
      </c>
      <c r="B6" s="47" t="s">
        <v>1803</v>
      </c>
      <c r="C6" s="47" t="s">
        <v>1827</v>
      </c>
      <c r="D6" s="48" t="s">
        <v>2583</v>
      </c>
      <c r="E6" s="48" t="s">
        <v>78</v>
      </c>
      <c r="F6" s="48" t="s">
        <v>15</v>
      </c>
      <c r="G6" s="47" t="s">
        <v>1828</v>
      </c>
      <c r="H6" s="48" t="s">
        <v>928</v>
      </c>
      <c r="I6" s="48" t="s">
        <v>1829</v>
      </c>
      <c r="J6" s="48" t="s">
        <v>928</v>
      </c>
      <c r="K6" s="48" t="s">
        <v>1830</v>
      </c>
      <c r="L6" s="48" t="s">
        <v>2584</v>
      </c>
      <c r="M6" s="48" t="s">
        <v>1831</v>
      </c>
      <c r="N6" s="48" t="s">
        <v>2577</v>
      </c>
      <c r="O6" s="48" t="s">
        <v>2585</v>
      </c>
      <c r="P6" s="47" t="s">
        <v>454</v>
      </c>
      <c r="Q6" s="49" t="s">
        <v>945</v>
      </c>
    </row>
    <row r="7" spans="1:17" ht="39" thickBot="1" x14ac:dyDescent="0.4">
      <c r="A7" s="46" t="s">
        <v>1832</v>
      </c>
      <c r="B7" s="47" t="s">
        <v>1803</v>
      </c>
      <c r="C7" s="47" t="s">
        <v>12</v>
      </c>
      <c r="D7" s="48" t="s">
        <v>2586</v>
      </c>
      <c r="E7" s="48" t="s">
        <v>51</v>
      </c>
      <c r="F7" s="48" t="s">
        <v>15</v>
      </c>
      <c r="G7" s="47" t="s">
        <v>1833</v>
      </c>
      <c r="H7" s="48" t="s">
        <v>928</v>
      </c>
      <c r="I7" s="48" t="s">
        <v>928</v>
      </c>
      <c r="J7" s="48" t="s">
        <v>1834</v>
      </c>
      <c r="K7" s="48" t="s">
        <v>1835</v>
      </c>
      <c r="L7" s="48" t="s">
        <v>1836</v>
      </c>
      <c r="M7" s="48" t="s">
        <v>1837</v>
      </c>
      <c r="N7" s="48" t="s">
        <v>2579</v>
      </c>
      <c r="O7" s="48" t="s">
        <v>2587</v>
      </c>
      <c r="P7" s="47" t="s">
        <v>454</v>
      </c>
      <c r="Q7" s="49" t="s">
        <v>1838</v>
      </c>
    </row>
    <row r="8" spans="1:17" ht="39" thickBot="1" x14ac:dyDescent="0.4">
      <c r="A8" s="46" t="s">
        <v>1839</v>
      </c>
      <c r="B8" s="47" t="s">
        <v>1803</v>
      </c>
      <c r="C8" s="47" t="s">
        <v>25</v>
      </c>
      <c r="D8" s="48" t="s">
        <v>2588</v>
      </c>
      <c r="E8" s="48" t="s">
        <v>1840</v>
      </c>
      <c r="F8" s="48" t="s">
        <v>15</v>
      </c>
      <c r="G8" s="47" t="s">
        <v>1841</v>
      </c>
      <c r="H8" s="48" t="s">
        <v>1842</v>
      </c>
      <c r="I8" s="48" t="s">
        <v>1843</v>
      </c>
      <c r="J8" s="48" t="s">
        <v>928</v>
      </c>
      <c r="K8" s="48" t="s">
        <v>1844</v>
      </c>
      <c r="L8" s="48" t="s">
        <v>1845</v>
      </c>
      <c r="M8" s="48" t="s">
        <v>1846</v>
      </c>
      <c r="N8" s="48" t="s">
        <v>2589</v>
      </c>
      <c r="O8" s="48" t="s">
        <v>1812</v>
      </c>
      <c r="P8" s="47" t="s">
        <v>454</v>
      </c>
      <c r="Q8" s="49" t="s">
        <v>945</v>
      </c>
    </row>
    <row r="9" spans="1:17" ht="39" thickBot="1" x14ac:dyDescent="0.4">
      <c r="A9" s="46" t="s">
        <v>1847</v>
      </c>
      <c r="B9" s="47" t="s">
        <v>1803</v>
      </c>
      <c r="C9" s="47" t="s">
        <v>1820</v>
      </c>
      <c r="D9" s="48" t="s">
        <v>2590</v>
      </c>
      <c r="E9" s="48" t="s">
        <v>1840</v>
      </c>
      <c r="F9" s="48" t="s">
        <v>15</v>
      </c>
      <c r="G9" s="47" t="s">
        <v>1848</v>
      </c>
      <c r="H9" s="48" t="s">
        <v>928</v>
      </c>
      <c r="I9" s="48" t="s">
        <v>928</v>
      </c>
      <c r="J9" s="48" t="s">
        <v>1849</v>
      </c>
      <c r="K9" s="48" t="s">
        <v>1850</v>
      </c>
      <c r="L9" s="48" t="s">
        <v>1816</v>
      </c>
      <c r="M9" s="48" t="s">
        <v>1851</v>
      </c>
      <c r="N9" s="48" t="s">
        <v>2591</v>
      </c>
      <c r="O9" s="48" t="s">
        <v>1852</v>
      </c>
      <c r="P9" s="47" t="s">
        <v>454</v>
      </c>
      <c r="Q9" s="49" t="s">
        <v>1838</v>
      </c>
    </row>
    <row r="10" spans="1:17" ht="39" thickBot="1" x14ac:dyDescent="0.4">
      <c r="A10" s="46" t="s">
        <v>1853</v>
      </c>
      <c r="B10" s="47" t="s">
        <v>1803</v>
      </c>
      <c r="C10" s="47" t="s">
        <v>1827</v>
      </c>
      <c r="D10" s="48" t="s">
        <v>2592</v>
      </c>
      <c r="E10" s="48" t="s">
        <v>51</v>
      </c>
      <c r="F10" s="48" t="s">
        <v>15</v>
      </c>
      <c r="G10" s="47" t="s">
        <v>1854</v>
      </c>
      <c r="H10" s="48" t="s">
        <v>928</v>
      </c>
      <c r="I10" s="48" t="s">
        <v>1855</v>
      </c>
      <c r="J10" s="48" t="s">
        <v>928</v>
      </c>
      <c r="K10" s="48" t="s">
        <v>1856</v>
      </c>
      <c r="L10" s="48" t="s">
        <v>2593</v>
      </c>
      <c r="M10" s="48" t="s">
        <v>1857</v>
      </c>
      <c r="N10" s="48" t="s">
        <v>2594</v>
      </c>
      <c r="O10" s="48" t="s">
        <v>2585</v>
      </c>
      <c r="P10" s="47" t="s">
        <v>454</v>
      </c>
      <c r="Q10" s="49" t="s">
        <v>945</v>
      </c>
    </row>
    <row r="11" spans="1:17" ht="39" thickBot="1" x14ac:dyDescent="0.4">
      <c r="A11" s="46" t="s">
        <v>1858</v>
      </c>
      <c r="B11" s="47" t="s">
        <v>1803</v>
      </c>
      <c r="C11" s="47" t="s">
        <v>12</v>
      </c>
      <c r="D11" s="48" t="s">
        <v>2595</v>
      </c>
      <c r="E11" s="48" t="s">
        <v>14</v>
      </c>
      <c r="F11" s="48" t="s">
        <v>15</v>
      </c>
      <c r="G11" s="47" t="s">
        <v>1859</v>
      </c>
      <c r="H11" s="48" t="s">
        <v>928</v>
      </c>
      <c r="I11" s="48" t="s">
        <v>928</v>
      </c>
      <c r="J11" s="48" t="s">
        <v>928</v>
      </c>
      <c r="K11" s="48" t="s">
        <v>1860</v>
      </c>
      <c r="L11" s="48" t="s">
        <v>1861</v>
      </c>
      <c r="M11" s="48" t="s">
        <v>1862</v>
      </c>
      <c r="N11" s="48" t="s">
        <v>2596</v>
      </c>
      <c r="O11" s="48" t="s">
        <v>540</v>
      </c>
      <c r="P11" s="47" t="s">
        <v>454</v>
      </c>
      <c r="Q11" s="49" t="s">
        <v>1807</v>
      </c>
    </row>
    <row r="12" spans="1:17" ht="39" thickBot="1" x14ac:dyDescent="0.4">
      <c r="A12" s="46" t="s">
        <v>1863</v>
      </c>
      <c r="B12" s="47" t="s">
        <v>1803</v>
      </c>
      <c r="C12" s="47" t="s">
        <v>12</v>
      </c>
      <c r="D12" s="48" t="s">
        <v>2597</v>
      </c>
      <c r="E12" s="48" t="s">
        <v>276</v>
      </c>
      <c r="F12" s="48" t="s">
        <v>15</v>
      </c>
      <c r="G12" s="47" t="s">
        <v>1864</v>
      </c>
      <c r="H12" s="48" t="s">
        <v>1865</v>
      </c>
      <c r="I12" s="48" t="s">
        <v>1866</v>
      </c>
      <c r="J12" s="48" t="s">
        <v>1867</v>
      </c>
      <c r="K12" s="48" t="s">
        <v>1868</v>
      </c>
      <c r="L12" s="48" t="s">
        <v>1869</v>
      </c>
      <c r="M12" s="48" t="s">
        <v>1870</v>
      </c>
      <c r="N12" s="48" t="s">
        <v>2598</v>
      </c>
      <c r="O12" s="48" t="s">
        <v>1872</v>
      </c>
      <c r="P12" s="47" t="s">
        <v>454</v>
      </c>
      <c r="Q12" s="49" t="s">
        <v>945</v>
      </c>
    </row>
    <row r="13" spans="1:17" ht="39" thickBot="1" x14ac:dyDescent="0.4">
      <c r="A13" s="46" t="s">
        <v>1873</v>
      </c>
      <c r="B13" s="47" t="s">
        <v>1803</v>
      </c>
      <c r="C13" s="47" t="s">
        <v>12</v>
      </c>
      <c r="D13" s="48" t="s">
        <v>2599</v>
      </c>
      <c r="E13" s="48" t="s">
        <v>1874</v>
      </c>
      <c r="F13" s="48" t="s">
        <v>15</v>
      </c>
      <c r="G13" s="47" t="s">
        <v>1864</v>
      </c>
      <c r="H13" s="48" t="s">
        <v>1865</v>
      </c>
      <c r="I13" s="48" t="s">
        <v>1866</v>
      </c>
      <c r="J13" s="48" t="s">
        <v>1867</v>
      </c>
      <c r="K13" s="48" t="s">
        <v>1875</v>
      </c>
      <c r="L13" s="48" t="s">
        <v>1816</v>
      </c>
      <c r="M13" s="48" t="s">
        <v>1876</v>
      </c>
      <c r="N13" s="48" t="s">
        <v>2598</v>
      </c>
      <c r="O13" s="48" t="s">
        <v>1877</v>
      </c>
      <c r="P13" s="47" t="s">
        <v>454</v>
      </c>
      <c r="Q13" s="49" t="s">
        <v>1878</v>
      </c>
    </row>
    <row r="14" spans="1:17" ht="39" thickBot="1" x14ac:dyDescent="0.4">
      <c r="A14" s="46" t="s">
        <v>1879</v>
      </c>
      <c r="B14" s="47" t="s">
        <v>1803</v>
      </c>
      <c r="C14" s="47" t="s">
        <v>1827</v>
      </c>
      <c r="D14" s="48" t="s">
        <v>2600</v>
      </c>
      <c r="E14" s="48" t="s">
        <v>14</v>
      </c>
      <c r="F14" s="48" t="s">
        <v>15</v>
      </c>
      <c r="G14" s="47" t="s">
        <v>1880</v>
      </c>
      <c r="H14" s="48" t="s">
        <v>928</v>
      </c>
      <c r="I14" s="48" t="s">
        <v>928</v>
      </c>
      <c r="J14" s="48" t="s">
        <v>928</v>
      </c>
      <c r="K14" s="48" t="s">
        <v>1881</v>
      </c>
      <c r="L14" s="48" t="s">
        <v>1816</v>
      </c>
      <c r="M14" s="48" t="s">
        <v>1882</v>
      </c>
      <c r="N14" s="48" t="s">
        <v>2577</v>
      </c>
      <c r="O14" s="48" t="s">
        <v>2601</v>
      </c>
      <c r="P14" s="47" t="s">
        <v>454</v>
      </c>
      <c r="Q14" s="49" t="s">
        <v>94</v>
      </c>
    </row>
    <row r="15" spans="1:17" ht="39" thickBot="1" x14ac:dyDescent="0.4">
      <c r="A15" s="46" t="s">
        <v>1883</v>
      </c>
      <c r="B15" s="47" t="s">
        <v>1803</v>
      </c>
      <c r="C15" s="47" t="s">
        <v>12</v>
      </c>
      <c r="D15" s="48" t="s">
        <v>2602</v>
      </c>
      <c r="E15" s="48" t="s">
        <v>142</v>
      </c>
      <c r="F15" s="48" t="s">
        <v>15</v>
      </c>
      <c r="G15" s="47" t="s">
        <v>1884</v>
      </c>
      <c r="H15" s="48" t="s">
        <v>928</v>
      </c>
      <c r="I15" s="48" t="s">
        <v>928</v>
      </c>
      <c r="J15" s="48" t="s">
        <v>1885</v>
      </c>
      <c r="K15" s="48" t="s">
        <v>1886</v>
      </c>
      <c r="L15" s="48" t="s">
        <v>1887</v>
      </c>
      <c r="M15" s="48" t="s">
        <v>1888</v>
      </c>
      <c r="N15" s="48" t="s">
        <v>2603</v>
      </c>
      <c r="O15" s="48" t="s">
        <v>1889</v>
      </c>
      <c r="P15" s="47" t="s">
        <v>454</v>
      </c>
      <c r="Q15" s="49" t="s">
        <v>1838</v>
      </c>
    </row>
    <row r="16" spans="1:17" ht="39" thickBot="1" x14ac:dyDescent="0.4">
      <c r="A16" s="46" t="s">
        <v>1890</v>
      </c>
      <c r="B16" s="47" t="s">
        <v>1803</v>
      </c>
      <c r="C16" s="47" t="s">
        <v>12</v>
      </c>
      <c r="D16" s="48" t="s">
        <v>2604</v>
      </c>
      <c r="E16" s="48" t="s">
        <v>117</v>
      </c>
      <c r="F16" s="48" t="s">
        <v>15</v>
      </c>
      <c r="G16" s="47" t="s">
        <v>1891</v>
      </c>
      <c r="H16" s="48" t="s">
        <v>928</v>
      </c>
      <c r="I16" s="48" t="s">
        <v>1892</v>
      </c>
      <c r="J16" s="48" t="s">
        <v>928</v>
      </c>
      <c r="K16" s="48" t="s">
        <v>1893</v>
      </c>
      <c r="L16" s="48" t="s">
        <v>1861</v>
      </c>
      <c r="M16" s="48" t="s">
        <v>1894</v>
      </c>
      <c r="N16" s="48" t="s">
        <v>2598</v>
      </c>
      <c r="O16" s="48" t="s">
        <v>540</v>
      </c>
      <c r="P16" s="47" t="s">
        <v>454</v>
      </c>
      <c r="Q16" s="49" t="s">
        <v>945</v>
      </c>
    </row>
    <row r="17" spans="1:17" ht="51.5" thickBot="1" x14ac:dyDescent="0.4">
      <c r="A17" s="46" t="s">
        <v>1895</v>
      </c>
      <c r="B17" s="47" t="s">
        <v>1803</v>
      </c>
      <c r="C17" s="47" t="s">
        <v>12</v>
      </c>
      <c r="D17" s="48" t="s">
        <v>2605</v>
      </c>
      <c r="E17" s="48" t="s">
        <v>151</v>
      </c>
      <c r="F17" s="48" t="s">
        <v>15</v>
      </c>
      <c r="G17" s="47" t="s">
        <v>1896</v>
      </c>
      <c r="H17" s="48" t="s">
        <v>928</v>
      </c>
      <c r="I17" s="48" t="s">
        <v>928</v>
      </c>
      <c r="J17" s="48" t="s">
        <v>928</v>
      </c>
      <c r="K17" s="48" t="s">
        <v>1897</v>
      </c>
      <c r="L17" s="48" t="s">
        <v>2606</v>
      </c>
      <c r="M17" s="48" t="s">
        <v>1898</v>
      </c>
      <c r="N17" s="48" t="s">
        <v>2607</v>
      </c>
      <c r="O17" s="48" t="s">
        <v>1812</v>
      </c>
      <c r="P17" s="47" t="s">
        <v>454</v>
      </c>
      <c r="Q17" s="49" t="s">
        <v>1807</v>
      </c>
    </row>
    <row r="18" spans="1:17" ht="39" thickBot="1" x14ac:dyDescent="0.4">
      <c r="A18" s="46" t="s">
        <v>1899</v>
      </c>
      <c r="B18" s="47" t="s">
        <v>1803</v>
      </c>
      <c r="C18" s="47" t="s">
        <v>1827</v>
      </c>
      <c r="D18" s="48" t="s">
        <v>2608</v>
      </c>
      <c r="E18" s="48" t="s">
        <v>151</v>
      </c>
      <c r="F18" s="48" t="s">
        <v>15</v>
      </c>
      <c r="G18" s="47" t="s">
        <v>1900</v>
      </c>
      <c r="H18" s="48" t="s">
        <v>928</v>
      </c>
      <c r="I18" s="48" t="s">
        <v>1829</v>
      </c>
      <c r="J18" s="48" t="s">
        <v>928</v>
      </c>
      <c r="K18" s="48" t="s">
        <v>1901</v>
      </c>
      <c r="L18" s="48" t="s">
        <v>1902</v>
      </c>
      <c r="M18" s="48" t="s">
        <v>1903</v>
      </c>
      <c r="N18" s="48" t="s">
        <v>2609</v>
      </c>
      <c r="O18" s="48" t="s">
        <v>1904</v>
      </c>
      <c r="P18" s="47" t="s">
        <v>454</v>
      </c>
      <c r="Q18" s="49" t="s">
        <v>1878</v>
      </c>
    </row>
    <row r="19" spans="1:17" ht="39" thickBot="1" x14ac:dyDescent="0.4">
      <c r="A19" s="46" t="s">
        <v>1905</v>
      </c>
      <c r="B19" s="47" t="s">
        <v>1803</v>
      </c>
      <c r="C19" s="47" t="s">
        <v>12</v>
      </c>
      <c r="D19" s="48" t="s">
        <v>2610</v>
      </c>
      <c r="E19" s="48" t="s">
        <v>151</v>
      </c>
      <c r="F19" s="48" t="s">
        <v>15</v>
      </c>
      <c r="G19" s="47" t="s">
        <v>1906</v>
      </c>
      <c r="H19" s="48" t="s">
        <v>928</v>
      </c>
      <c r="I19" s="48" t="s">
        <v>928</v>
      </c>
      <c r="J19" s="48" t="s">
        <v>928</v>
      </c>
      <c r="K19" s="48" t="s">
        <v>1907</v>
      </c>
      <c r="L19" s="48" t="s">
        <v>1908</v>
      </c>
      <c r="M19" s="48" t="s">
        <v>1909</v>
      </c>
      <c r="N19" s="48" t="s">
        <v>972</v>
      </c>
      <c r="O19" s="48" t="s">
        <v>1910</v>
      </c>
      <c r="P19" s="47" t="s">
        <v>455</v>
      </c>
      <c r="Q19" s="49" t="s">
        <v>94</v>
      </c>
    </row>
    <row r="20" spans="1:17" ht="39" thickBot="1" x14ac:dyDescent="0.4">
      <c r="A20" s="46" t="s">
        <v>1911</v>
      </c>
      <c r="B20" s="47" t="s">
        <v>1803</v>
      </c>
      <c r="C20" s="47" t="s">
        <v>12</v>
      </c>
      <c r="D20" s="48" t="s">
        <v>2611</v>
      </c>
      <c r="E20" s="48" t="s">
        <v>151</v>
      </c>
      <c r="F20" s="48" t="s">
        <v>15</v>
      </c>
      <c r="G20" s="47" t="s">
        <v>1912</v>
      </c>
      <c r="H20" s="48" t="s">
        <v>1913</v>
      </c>
      <c r="I20" s="48" t="s">
        <v>1914</v>
      </c>
      <c r="J20" s="48" t="s">
        <v>928</v>
      </c>
      <c r="K20" s="48" t="s">
        <v>1915</v>
      </c>
      <c r="L20" s="48" t="s">
        <v>2612</v>
      </c>
      <c r="M20" s="48" t="s">
        <v>1916</v>
      </c>
      <c r="N20" s="48" t="s">
        <v>2613</v>
      </c>
      <c r="O20" s="48" t="s">
        <v>1812</v>
      </c>
      <c r="P20" s="47" t="s">
        <v>454</v>
      </c>
      <c r="Q20" s="49" t="s">
        <v>1878</v>
      </c>
    </row>
    <row r="21" spans="1:17" ht="39" thickBot="1" x14ac:dyDescent="0.4">
      <c r="A21" s="46" t="s">
        <v>1917</v>
      </c>
      <c r="B21" s="47" t="s">
        <v>1803</v>
      </c>
      <c r="C21" s="47" t="s">
        <v>12</v>
      </c>
      <c r="D21" s="48" t="s">
        <v>2614</v>
      </c>
      <c r="E21" s="48" t="s">
        <v>151</v>
      </c>
      <c r="F21" s="48" t="s">
        <v>15</v>
      </c>
      <c r="G21" s="47" t="s">
        <v>1918</v>
      </c>
      <c r="H21" s="48" t="s">
        <v>928</v>
      </c>
      <c r="I21" s="48" t="s">
        <v>928</v>
      </c>
      <c r="J21" s="48" t="s">
        <v>928</v>
      </c>
      <c r="K21" s="48" t="s">
        <v>1919</v>
      </c>
      <c r="L21" s="48" t="s">
        <v>1920</v>
      </c>
      <c r="M21" s="48" t="s">
        <v>1921</v>
      </c>
      <c r="N21" s="48" t="s">
        <v>671</v>
      </c>
      <c r="O21" s="48" t="s">
        <v>1812</v>
      </c>
      <c r="P21" s="47" t="s">
        <v>454</v>
      </c>
      <c r="Q21" s="49" t="s">
        <v>1807</v>
      </c>
    </row>
    <row r="22" spans="1:17" ht="39" thickBot="1" x14ac:dyDescent="0.4">
      <c r="A22" s="46" t="s">
        <v>1922</v>
      </c>
      <c r="B22" s="47" t="s">
        <v>1803</v>
      </c>
      <c r="C22" s="47" t="s">
        <v>12</v>
      </c>
      <c r="D22" s="48" t="s">
        <v>2615</v>
      </c>
      <c r="E22" s="48" t="s">
        <v>151</v>
      </c>
      <c r="F22" s="48" t="s">
        <v>15</v>
      </c>
      <c r="G22" s="47" t="s">
        <v>1923</v>
      </c>
      <c r="H22" s="48" t="s">
        <v>928</v>
      </c>
      <c r="I22" s="48" t="s">
        <v>928</v>
      </c>
      <c r="J22" s="48" t="s">
        <v>928</v>
      </c>
      <c r="K22" s="48" t="s">
        <v>1924</v>
      </c>
      <c r="L22" s="48" t="s">
        <v>2616</v>
      </c>
      <c r="M22" s="48" t="s">
        <v>1925</v>
      </c>
      <c r="N22" s="48" t="s">
        <v>1926</v>
      </c>
      <c r="O22" s="48" t="s">
        <v>1910</v>
      </c>
      <c r="P22" s="47" t="s">
        <v>454</v>
      </c>
      <c r="Q22" s="49" t="s">
        <v>94</v>
      </c>
    </row>
    <row r="23" spans="1:17" ht="39" thickBot="1" x14ac:dyDescent="0.4">
      <c r="A23" s="46" t="s">
        <v>1927</v>
      </c>
      <c r="B23" s="47" t="s">
        <v>1803</v>
      </c>
      <c r="C23" s="47" t="s">
        <v>12</v>
      </c>
      <c r="D23" s="48" t="s">
        <v>2617</v>
      </c>
      <c r="E23" s="48" t="s">
        <v>142</v>
      </c>
      <c r="F23" s="48" t="s">
        <v>15</v>
      </c>
      <c r="G23" s="47" t="s">
        <v>1928</v>
      </c>
      <c r="H23" s="48" t="s">
        <v>928</v>
      </c>
      <c r="I23" s="48" t="s">
        <v>928</v>
      </c>
      <c r="J23" s="48" t="s">
        <v>928</v>
      </c>
      <c r="K23" s="48" t="s">
        <v>1929</v>
      </c>
      <c r="L23" s="48" t="s">
        <v>1816</v>
      </c>
      <c r="M23" s="48" t="s">
        <v>1930</v>
      </c>
      <c r="N23" s="48" t="s">
        <v>1926</v>
      </c>
      <c r="O23" s="48" t="s">
        <v>1910</v>
      </c>
      <c r="P23" s="47" t="s">
        <v>454</v>
      </c>
      <c r="Q23" s="49" t="s">
        <v>94</v>
      </c>
    </row>
    <row r="24" spans="1:17" ht="39" thickBot="1" x14ac:dyDescent="0.4">
      <c r="A24" s="46" t="s">
        <v>1931</v>
      </c>
      <c r="B24" s="47" t="s">
        <v>1803</v>
      </c>
      <c r="C24" s="47" t="s">
        <v>12</v>
      </c>
      <c r="D24" s="48" t="s">
        <v>2618</v>
      </c>
      <c r="E24" s="48" t="s">
        <v>117</v>
      </c>
      <c r="F24" s="48" t="s">
        <v>15</v>
      </c>
      <c r="G24" s="47" t="s">
        <v>1928</v>
      </c>
      <c r="H24" s="48" t="s">
        <v>928</v>
      </c>
      <c r="I24" s="48" t="s">
        <v>928</v>
      </c>
      <c r="J24" s="48" t="s">
        <v>928</v>
      </c>
      <c r="K24" s="48" t="s">
        <v>1932</v>
      </c>
      <c r="L24" s="48" t="s">
        <v>1933</v>
      </c>
      <c r="M24" s="48" t="s">
        <v>1930</v>
      </c>
      <c r="N24" s="48" t="s">
        <v>1926</v>
      </c>
      <c r="O24" s="48" t="s">
        <v>1910</v>
      </c>
      <c r="P24" s="47" t="s">
        <v>454</v>
      </c>
      <c r="Q24" s="49" t="s">
        <v>94</v>
      </c>
    </row>
    <row r="25" spans="1:17" ht="39" thickBot="1" x14ac:dyDescent="0.4">
      <c r="A25" s="46" t="s">
        <v>1934</v>
      </c>
      <c r="B25" s="47" t="s">
        <v>1803</v>
      </c>
      <c r="C25" s="47" t="s">
        <v>12</v>
      </c>
      <c r="D25" s="48" t="s">
        <v>2619</v>
      </c>
      <c r="E25" s="48" t="s">
        <v>104</v>
      </c>
      <c r="F25" s="48" t="s">
        <v>15</v>
      </c>
      <c r="G25" s="47" t="s">
        <v>841</v>
      </c>
      <c r="H25" s="48" t="s">
        <v>928</v>
      </c>
      <c r="I25" s="48" t="s">
        <v>928</v>
      </c>
      <c r="J25" s="48" t="s">
        <v>928</v>
      </c>
      <c r="K25" s="48" t="s">
        <v>1935</v>
      </c>
      <c r="L25" s="48" t="s">
        <v>1936</v>
      </c>
      <c r="M25" s="48" t="s">
        <v>1937</v>
      </c>
      <c r="N25" s="48" t="s">
        <v>781</v>
      </c>
      <c r="O25" s="48" t="s">
        <v>1910</v>
      </c>
      <c r="P25" s="47" t="s">
        <v>455</v>
      </c>
      <c r="Q25" s="49" t="s">
        <v>1818</v>
      </c>
    </row>
    <row r="26" spans="1:17" ht="39" thickBot="1" x14ac:dyDescent="0.4">
      <c r="A26" s="46" t="s">
        <v>1941</v>
      </c>
      <c r="B26" s="47" t="s">
        <v>1803</v>
      </c>
      <c r="C26" s="47" t="s">
        <v>12</v>
      </c>
      <c r="D26" s="48" t="s">
        <v>2620</v>
      </c>
      <c r="E26" s="48" t="s">
        <v>172</v>
      </c>
      <c r="F26" s="48" t="s">
        <v>15</v>
      </c>
      <c r="G26" s="47" t="s">
        <v>1942</v>
      </c>
      <c r="H26" s="48" t="s">
        <v>1913</v>
      </c>
      <c r="I26" s="48" t="s">
        <v>1943</v>
      </c>
      <c r="J26" s="48" t="s">
        <v>928</v>
      </c>
      <c r="K26" s="48" t="s">
        <v>1944</v>
      </c>
      <c r="L26" s="48" t="s">
        <v>2621</v>
      </c>
      <c r="M26" s="48" t="s">
        <v>1945</v>
      </c>
      <c r="N26" s="48" t="s">
        <v>2577</v>
      </c>
      <c r="O26" s="48" t="s">
        <v>1812</v>
      </c>
      <c r="P26" s="47" t="s">
        <v>454</v>
      </c>
      <c r="Q26" s="49" t="s">
        <v>1878</v>
      </c>
    </row>
    <row r="27" spans="1:17" ht="39" thickBot="1" x14ac:dyDescent="0.4">
      <c r="A27" s="46" t="s">
        <v>1946</v>
      </c>
      <c r="B27" s="47" t="s">
        <v>1803</v>
      </c>
      <c r="C27" s="47" t="s">
        <v>12</v>
      </c>
      <c r="D27" s="48" t="s">
        <v>2622</v>
      </c>
      <c r="E27" s="48" t="s">
        <v>172</v>
      </c>
      <c r="F27" s="48" t="s">
        <v>15</v>
      </c>
      <c r="G27" s="47" t="s">
        <v>1942</v>
      </c>
      <c r="H27" s="48" t="s">
        <v>1913</v>
      </c>
      <c r="I27" s="48" t="s">
        <v>1943</v>
      </c>
      <c r="J27" s="48" t="s">
        <v>928</v>
      </c>
      <c r="K27" s="48" t="s">
        <v>1947</v>
      </c>
      <c r="L27" s="48" t="s">
        <v>2623</v>
      </c>
      <c r="M27" s="48" t="s">
        <v>1948</v>
      </c>
      <c r="N27" s="48" t="s">
        <v>671</v>
      </c>
      <c r="O27" s="48" t="s">
        <v>1812</v>
      </c>
      <c r="P27" s="47" t="s">
        <v>454</v>
      </c>
      <c r="Q27" s="49" t="s">
        <v>1878</v>
      </c>
    </row>
    <row r="28" spans="1:17" ht="39" thickBot="1" x14ac:dyDescent="0.4">
      <c r="A28" s="46" t="s">
        <v>1949</v>
      </c>
      <c r="B28" s="47" t="s">
        <v>1803</v>
      </c>
      <c r="C28" s="47" t="s">
        <v>1820</v>
      </c>
      <c r="D28" s="48" t="s">
        <v>2624</v>
      </c>
      <c r="E28" s="48" t="s">
        <v>172</v>
      </c>
      <c r="F28" s="48" t="s">
        <v>15</v>
      </c>
      <c r="G28" s="47" t="s">
        <v>1950</v>
      </c>
      <c r="H28" s="48" t="s">
        <v>928</v>
      </c>
      <c r="I28" s="48" t="s">
        <v>1951</v>
      </c>
      <c r="J28" s="48" t="s">
        <v>928</v>
      </c>
      <c r="K28" s="48" t="s">
        <v>1952</v>
      </c>
      <c r="L28" s="48" t="s">
        <v>2625</v>
      </c>
      <c r="M28" s="48" t="s">
        <v>1953</v>
      </c>
      <c r="N28" s="48" t="s">
        <v>1954</v>
      </c>
      <c r="O28" s="48" t="s">
        <v>1812</v>
      </c>
      <c r="P28" s="47" t="s">
        <v>454</v>
      </c>
      <c r="Q28" s="49" t="s">
        <v>1878</v>
      </c>
    </row>
    <row r="29" spans="1:17" ht="51.5" thickBot="1" x14ac:dyDescent="0.4">
      <c r="A29" s="46" t="s">
        <v>1955</v>
      </c>
      <c r="B29" s="47" t="s">
        <v>1803</v>
      </c>
      <c r="C29" s="47" t="s">
        <v>12</v>
      </c>
      <c r="D29" s="48" t="s">
        <v>2626</v>
      </c>
      <c r="E29" s="48" t="s">
        <v>172</v>
      </c>
      <c r="F29" s="48" t="s">
        <v>15</v>
      </c>
      <c r="G29" s="47" t="s">
        <v>1956</v>
      </c>
      <c r="H29" s="48" t="s">
        <v>928</v>
      </c>
      <c r="I29" s="48" t="s">
        <v>928</v>
      </c>
      <c r="J29" s="48" t="s">
        <v>928</v>
      </c>
      <c r="K29" s="48" t="s">
        <v>1957</v>
      </c>
      <c r="L29" s="48" t="s">
        <v>2627</v>
      </c>
      <c r="M29" s="48" t="s">
        <v>1939</v>
      </c>
      <c r="N29" s="48" t="s">
        <v>2589</v>
      </c>
      <c r="O29" s="48" t="s">
        <v>1958</v>
      </c>
      <c r="P29" s="47" t="s">
        <v>454</v>
      </c>
      <c r="Q29" s="49" t="s">
        <v>1807</v>
      </c>
    </row>
    <row r="30" spans="1:17" ht="39" thickBot="1" x14ac:dyDescent="0.4">
      <c r="A30" s="46" t="s">
        <v>1959</v>
      </c>
      <c r="B30" s="47" t="s">
        <v>1803</v>
      </c>
      <c r="C30" s="47" t="s">
        <v>12</v>
      </c>
      <c r="D30" s="48" t="s">
        <v>2628</v>
      </c>
      <c r="E30" s="48" t="s">
        <v>197</v>
      </c>
      <c r="F30" s="48" t="s">
        <v>15</v>
      </c>
      <c r="G30" s="47" t="s">
        <v>1942</v>
      </c>
      <c r="H30" s="48" t="s">
        <v>1913</v>
      </c>
      <c r="I30" s="48" t="s">
        <v>1943</v>
      </c>
      <c r="J30" s="48" t="s">
        <v>928</v>
      </c>
      <c r="K30" s="48" t="s">
        <v>1960</v>
      </c>
      <c r="L30" s="48" t="s">
        <v>2629</v>
      </c>
      <c r="M30" s="48" t="s">
        <v>1961</v>
      </c>
      <c r="N30" s="48" t="s">
        <v>726</v>
      </c>
      <c r="O30" s="48" t="s">
        <v>1910</v>
      </c>
      <c r="P30" s="47" t="s">
        <v>454</v>
      </c>
      <c r="Q30" s="49" t="s">
        <v>1878</v>
      </c>
    </row>
    <row r="31" spans="1:17" ht="39" thickBot="1" x14ac:dyDescent="0.4">
      <c r="A31" s="46" t="s">
        <v>1962</v>
      </c>
      <c r="B31" s="47" t="s">
        <v>1803</v>
      </c>
      <c r="C31" s="47" t="s">
        <v>1827</v>
      </c>
      <c r="D31" s="48" t="s">
        <v>2630</v>
      </c>
      <c r="E31" s="48" t="s">
        <v>197</v>
      </c>
      <c r="F31" s="48" t="s">
        <v>15</v>
      </c>
      <c r="G31" s="47" t="s">
        <v>1963</v>
      </c>
      <c r="H31" s="48" t="s">
        <v>928</v>
      </c>
      <c r="I31" s="48" t="s">
        <v>928</v>
      </c>
      <c r="J31" s="48" t="s">
        <v>928</v>
      </c>
      <c r="K31" s="48" t="s">
        <v>1964</v>
      </c>
      <c r="L31" s="48" t="s">
        <v>2631</v>
      </c>
      <c r="M31" s="48" t="s">
        <v>1965</v>
      </c>
      <c r="N31" s="48" t="s">
        <v>2632</v>
      </c>
      <c r="O31" s="48" t="s">
        <v>1812</v>
      </c>
      <c r="P31" s="47" t="s">
        <v>454</v>
      </c>
      <c r="Q31" s="49" t="s">
        <v>1818</v>
      </c>
    </row>
    <row r="32" spans="1:17" ht="39" thickBot="1" x14ac:dyDescent="0.4">
      <c r="A32" s="46" t="s">
        <v>1966</v>
      </c>
      <c r="B32" s="47" t="s">
        <v>1803</v>
      </c>
      <c r="C32" s="47" t="s">
        <v>25</v>
      </c>
      <c r="D32" s="48" t="s">
        <v>2633</v>
      </c>
      <c r="E32" s="48" t="s">
        <v>211</v>
      </c>
      <c r="F32" s="48" t="s">
        <v>15</v>
      </c>
      <c r="G32" s="47" t="s">
        <v>1967</v>
      </c>
      <c r="H32" s="48" t="s">
        <v>928</v>
      </c>
      <c r="I32" s="48" t="s">
        <v>928</v>
      </c>
      <c r="J32" s="48" t="s">
        <v>928</v>
      </c>
      <c r="K32" s="48" t="s">
        <v>1968</v>
      </c>
      <c r="L32" s="48" t="s">
        <v>2634</v>
      </c>
      <c r="M32" s="48" t="s">
        <v>1948</v>
      </c>
      <c r="N32" s="48" t="s">
        <v>726</v>
      </c>
      <c r="O32" s="48" t="s">
        <v>1910</v>
      </c>
      <c r="P32" s="47" t="s">
        <v>455</v>
      </c>
      <c r="Q32" s="49" t="s">
        <v>94</v>
      </c>
    </row>
    <row r="33" spans="1:17" ht="51.5" thickBot="1" x14ac:dyDescent="0.4">
      <c r="A33" s="46" t="s">
        <v>1969</v>
      </c>
      <c r="B33" s="47" t="s">
        <v>1803</v>
      </c>
      <c r="C33" s="47" t="s">
        <v>12</v>
      </c>
      <c r="D33" s="48" t="s">
        <v>2635</v>
      </c>
      <c r="E33" s="48" t="s">
        <v>211</v>
      </c>
      <c r="F33" s="48" t="s">
        <v>15</v>
      </c>
      <c r="G33" s="47" t="s">
        <v>1942</v>
      </c>
      <c r="H33" s="48" t="s">
        <v>1913</v>
      </c>
      <c r="I33" s="48" t="s">
        <v>1943</v>
      </c>
      <c r="J33" s="48" t="s">
        <v>928</v>
      </c>
      <c r="K33" s="48" t="s">
        <v>1970</v>
      </c>
      <c r="L33" s="48" t="s">
        <v>2629</v>
      </c>
      <c r="M33" s="48" t="s">
        <v>1971</v>
      </c>
      <c r="N33" s="48" t="s">
        <v>1972</v>
      </c>
      <c r="O33" s="48" t="s">
        <v>1812</v>
      </c>
      <c r="P33" s="47" t="s">
        <v>454</v>
      </c>
      <c r="Q33" s="49" t="s">
        <v>1878</v>
      </c>
    </row>
    <row r="34" spans="1:17" ht="39" thickBot="1" x14ac:dyDescent="0.4">
      <c r="A34" s="46" t="s">
        <v>1646</v>
      </c>
      <c r="B34" s="47" t="s">
        <v>1803</v>
      </c>
      <c r="C34" s="47" t="s">
        <v>12</v>
      </c>
      <c r="D34" s="48" t="s">
        <v>2636</v>
      </c>
      <c r="E34" s="48" t="s">
        <v>219</v>
      </c>
      <c r="F34" s="48" t="s">
        <v>15</v>
      </c>
      <c r="G34" s="47" t="s">
        <v>1648</v>
      </c>
      <c r="H34" s="48" t="s">
        <v>928</v>
      </c>
      <c r="I34" s="48" t="s">
        <v>928</v>
      </c>
      <c r="J34" s="48" t="s">
        <v>1649</v>
      </c>
      <c r="K34" s="48" t="s">
        <v>1698</v>
      </c>
      <c r="L34" s="48" t="s">
        <v>1973</v>
      </c>
      <c r="M34" s="48" t="s">
        <v>1974</v>
      </c>
      <c r="N34" s="48" t="s">
        <v>2637</v>
      </c>
      <c r="O34" s="48" t="s">
        <v>1976</v>
      </c>
      <c r="P34" s="47" t="s">
        <v>454</v>
      </c>
      <c r="Q34" s="49" t="s">
        <v>1838</v>
      </c>
    </row>
    <row r="35" spans="1:17" ht="39" thickBot="1" x14ac:dyDescent="0.4">
      <c r="A35" s="46" t="s">
        <v>1977</v>
      </c>
      <c r="B35" s="47" t="s">
        <v>1803</v>
      </c>
      <c r="C35" s="47" t="s">
        <v>1820</v>
      </c>
      <c r="D35" s="48" t="s">
        <v>2638</v>
      </c>
      <c r="E35" s="48" t="s">
        <v>219</v>
      </c>
      <c r="F35" s="48" t="s">
        <v>15</v>
      </c>
      <c r="G35" s="47" t="s">
        <v>1978</v>
      </c>
      <c r="H35" s="48" t="s">
        <v>928</v>
      </c>
      <c r="I35" s="48" t="s">
        <v>928</v>
      </c>
      <c r="J35" s="48" t="s">
        <v>928</v>
      </c>
      <c r="K35" s="48" t="s">
        <v>1979</v>
      </c>
      <c r="L35" s="48" t="s">
        <v>1980</v>
      </c>
      <c r="M35" s="48" t="s">
        <v>1981</v>
      </c>
      <c r="N35" s="48" t="s">
        <v>726</v>
      </c>
      <c r="O35" s="48" t="s">
        <v>1812</v>
      </c>
      <c r="P35" s="47" t="s">
        <v>454</v>
      </c>
      <c r="Q35" s="49" t="s">
        <v>94</v>
      </c>
    </row>
    <row r="36" spans="1:17" ht="39" thickBot="1" x14ac:dyDescent="0.4">
      <c r="A36" s="46" t="s">
        <v>1982</v>
      </c>
      <c r="B36" s="47" t="s">
        <v>1803</v>
      </c>
      <c r="C36" s="47" t="s">
        <v>12</v>
      </c>
      <c r="D36" s="48" t="s">
        <v>2639</v>
      </c>
      <c r="E36" s="48" t="s">
        <v>219</v>
      </c>
      <c r="F36" s="48" t="s">
        <v>15</v>
      </c>
      <c r="G36" s="47" t="s">
        <v>1983</v>
      </c>
      <c r="H36" s="48" t="s">
        <v>928</v>
      </c>
      <c r="I36" s="48" t="s">
        <v>928</v>
      </c>
      <c r="J36" s="48" t="s">
        <v>928</v>
      </c>
      <c r="K36" s="48" t="s">
        <v>1984</v>
      </c>
      <c r="L36" s="48" t="s">
        <v>1845</v>
      </c>
      <c r="M36" s="48" t="s">
        <v>1985</v>
      </c>
      <c r="N36" s="48" t="s">
        <v>972</v>
      </c>
      <c r="O36" s="48" t="s">
        <v>1910</v>
      </c>
      <c r="P36" s="47" t="s">
        <v>455</v>
      </c>
      <c r="Q36" s="49" t="s">
        <v>94</v>
      </c>
    </row>
    <row r="37" spans="1:17" ht="39" thickBot="1" x14ac:dyDescent="0.4">
      <c r="A37" s="46" t="s">
        <v>1986</v>
      </c>
      <c r="B37" s="47" t="s">
        <v>1803</v>
      </c>
      <c r="C37" s="47" t="s">
        <v>12</v>
      </c>
      <c r="D37" s="48" t="s">
        <v>2640</v>
      </c>
      <c r="E37" s="48" t="s">
        <v>229</v>
      </c>
      <c r="F37" s="48" t="s">
        <v>15</v>
      </c>
      <c r="G37" s="47" t="s">
        <v>1987</v>
      </c>
      <c r="H37" s="48" t="s">
        <v>928</v>
      </c>
      <c r="I37" s="48" t="s">
        <v>928</v>
      </c>
      <c r="J37" s="48" t="s">
        <v>928</v>
      </c>
      <c r="K37" s="48" t="s">
        <v>1988</v>
      </c>
      <c r="L37" s="48" t="s">
        <v>1989</v>
      </c>
      <c r="M37" s="48" t="s">
        <v>1990</v>
      </c>
      <c r="N37" s="48" t="s">
        <v>2577</v>
      </c>
      <c r="O37" s="48" t="s">
        <v>1812</v>
      </c>
      <c r="P37" s="47" t="s">
        <v>454</v>
      </c>
      <c r="Q37" s="49" t="s">
        <v>1991</v>
      </c>
    </row>
    <row r="38" spans="1:17" ht="39" thickBot="1" x14ac:dyDescent="0.4">
      <c r="A38" s="46" t="s">
        <v>1992</v>
      </c>
      <c r="B38" s="47" t="s">
        <v>1803</v>
      </c>
      <c r="C38" s="47" t="s">
        <v>1827</v>
      </c>
      <c r="D38" s="48" t="s">
        <v>2641</v>
      </c>
      <c r="E38" s="48" t="s">
        <v>229</v>
      </c>
      <c r="F38" s="48" t="s">
        <v>15</v>
      </c>
      <c r="G38" s="47" t="s">
        <v>1993</v>
      </c>
      <c r="H38" s="48" t="s">
        <v>928</v>
      </c>
      <c r="I38" s="48" t="s">
        <v>928</v>
      </c>
      <c r="J38" s="48" t="s">
        <v>928</v>
      </c>
      <c r="K38" s="48" t="s">
        <v>1994</v>
      </c>
      <c r="L38" s="48" t="s">
        <v>1995</v>
      </c>
      <c r="M38" s="48" t="s">
        <v>1996</v>
      </c>
      <c r="N38" s="48" t="s">
        <v>2642</v>
      </c>
      <c r="O38" s="48" t="s">
        <v>1910</v>
      </c>
      <c r="P38" s="47" t="s">
        <v>454</v>
      </c>
      <c r="Q38" s="49" t="s">
        <v>94</v>
      </c>
    </row>
    <row r="39" spans="1:17" ht="39" thickBot="1" x14ac:dyDescent="0.4">
      <c r="A39" s="46" t="s">
        <v>1997</v>
      </c>
      <c r="B39" s="47" t="s">
        <v>1803</v>
      </c>
      <c r="C39" s="47" t="s">
        <v>12</v>
      </c>
      <c r="D39" s="48" t="s">
        <v>2643</v>
      </c>
      <c r="E39" s="48" t="s">
        <v>257</v>
      </c>
      <c r="F39" s="48" t="s">
        <v>15</v>
      </c>
      <c r="G39" s="47" t="s">
        <v>1998</v>
      </c>
      <c r="H39" s="48" t="s">
        <v>928</v>
      </c>
      <c r="I39" s="48" t="s">
        <v>928</v>
      </c>
      <c r="J39" s="48" t="s">
        <v>928</v>
      </c>
      <c r="K39" s="48" t="s">
        <v>1999</v>
      </c>
      <c r="L39" s="48" t="s">
        <v>2000</v>
      </c>
      <c r="M39" s="48" t="s">
        <v>2001</v>
      </c>
      <c r="N39" s="48" t="s">
        <v>2577</v>
      </c>
      <c r="O39" s="48" t="s">
        <v>2002</v>
      </c>
      <c r="P39" s="47" t="s">
        <v>454</v>
      </c>
      <c r="Q39" s="49" t="s">
        <v>1807</v>
      </c>
    </row>
    <row r="40" spans="1:17" ht="39" thickBot="1" x14ac:dyDescent="0.4">
      <c r="A40" s="46" t="s">
        <v>2003</v>
      </c>
      <c r="B40" s="47" t="s">
        <v>1803</v>
      </c>
      <c r="C40" s="47" t="s">
        <v>12</v>
      </c>
      <c r="D40" s="48" t="s">
        <v>2644</v>
      </c>
      <c r="E40" s="48" t="s">
        <v>257</v>
      </c>
      <c r="F40" s="48" t="s">
        <v>15</v>
      </c>
      <c r="G40" s="47" t="s">
        <v>1998</v>
      </c>
      <c r="H40" s="48" t="s">
        <v>928</v>
      </c>
      <c r="I40" s="48" t="s">
        <v>928</v>
      </c>
      <c r="J40" s="48" t="s">
        <v>928</v>
      </c>
      <c r="K40" s="48" t="s">
        <v>2004</v>
      </c>
      <c r="L40" s="48" t="s">
        <v>1816</v>
      </c>
      <c r="M40" s="48" t="s">
        <v>2005</v>
      </c>
      <c r="N40" s="48" t="s">
        <v>726</v>
      </c>
      <c r="O40" s="48" t="s">
        <v>1812</v>
      </c>
      <c r="P40" s="47" t="s">
        <v>454</v>
      </c>
      <c r="Q40" s="49" t="s">
        <v>1807</v>
      </c>
    </row>
    <row r="41" spans="1:17" ht="39" thickBot="1" x14ac:dyDescent="0.4">
      <c r="A41" s="46" t="s">
        <v>2006</v>
      </c>
      <c r="B41" s="47" t="s">
        <v>1803</v>
      </c>
      <c r="C41" s="47" t="s">
        <v>12</v>
      </c>
      <c r="D41" s="48" t="s">
        <v>2645</v>
      </c>
      <c r="E41" s="48" t="s">
        <v>257</v>
      </c>
      <c r="F41" s="48" t="s">
        <v>15</v>
      </c>
      <c r="G41" s="47" t="s">
        <v>2007</v>
      </c>
      <c r="H41" s="48" t="s">
        <v>928</v>
      </c>
      <c r="I41" s="48" t="s">
        <v>2008</v>
      </c>
      <c r="J41" s="48" t="s">
        <v>928</v>
      </c>
      <c r="K41" s="48" t="s">
        <v>2009</v>
      </c>
      <c r="L41" s="48" t="s">
        <v>2010</v>
      </c>
      <c r="M41" s="48" t="s">
        <v>2011</v>
      </c>
      <c r="N41" s="48" t="s">
        <v>840</v>
      </c>
      <c r="O41" s="48" t="s">
        <v>1889</v>
      </c>
      <c r="P41" s="47" t="s">
        <v>454</v>
      </c>
      <c r="Q41" s="49" t="s">
        <v>2012</v>
      </c>
    </row>
    <row r="42" spans="1:17" ht="39" thickBot="1" x14ac:dyDescent="0.4">
      <c r="A42" s="46" t="s">
        <v>2013</v>
      </c>
      <c r="B42" s="47" t="s">
        <v>1803</v>
      </c>
      <c r="C42" s="47" t="s">
        <v>12</v>
      </c>
      <c r="D42" s="48" t="s">
        <v>2646</v>
      </c>
      <c r="E42" s="48" t="s">
        <v>276</v>
      </c>
      <c r="F42" s="48" t="s">
        <v>15</v>
      </c>
      <c r="G42" s="47" t="s">
        <v>1938</v>
      </c>
      <c r="H42" s="48" t="s">
        <v>928</v>
      </c>
      <c r="I42" s="48" t="s">
        <v>928</v>
      </c>
      <c r="J42" s="48" t="s">
        <v>928</v>
      </c>
      <c r="K42" s="48" t="s">
        <v>2014</v>
      </c>
      <c r="L42" s="48" t="s">
        <v>2647</v>
      </c>
      <c r="M42" s="48" t="s">
        <v>2015</v>
      </c>
      <c r="N42" s="48" t="s">
        <v>781</v>
      </c>
      <c r="O42" s="48" t="s">
        <v>1812</v>
      </c>
      <c r="P42" s="47" t="s">
        <v>454</v>
      </c>
      <c r="Q42" s="49" t="s">
        <v>1940</v>
      </c>
    </row>
    <row r="43" spans="1:17" ht="26.5" thickBot="1" x14ac:dyDescent="0.4">
      <c r="A43" s="46" t="s">
        <v>2016</v>
      </c>
      <c r="B43" s="47" t="s">
        <v>1803</v>
      </c>
      <c r="C43" s="47" t="s">
        <v>12</v>
      </c>
      <c r="D43" s="48" t="s">
        <v>2648</v>
      </c>
      <c r="E43" s="48" t="s">
        <v>151</v>
      </c>
      <c r="F43" s="48" t="s">
        <v>15</v>
      </c>
      <c r="G43" s="47" t="s">
        <v>1906</v>
      </c>
      <c r="H43" s="48" t="s">
        <v>928</v>
      </c>
      <c r="I43" s="48" t="s">
        <v>928</v>
      </c>
      <c r="J43" s="48" t="s">
        <v>928</v>
      </c>
      <c r="K43" s="48" t="s">
        <v>928</v>
      </c>
      <c r="L43" s="48" t="s">
        <v>2649</v>
      </c>
      <c r="M43" s="48" t="s">
        <v>2017</v>
      </c>
      <c r="N43" s="48" t="s">
        <v>781</v>
      </c>
      <c r="O43" s="48" t="s">
        <v>1910</v>
      </c>
      <c r="P43" s="47" t="s">
        <v>454</v>
      </c>
      <c r="Q43" s="49" t="s">
        <v>950</v>
      </c>
    </row>
    <row r="44" spans="1:17" ht="26.5" thickBot="1" x14ac:dyDescent="0.4">
      <c r="A44" s="46" t="s">
        <v>2018</v>
      </c>
      <c r="B44" s="47" t="s">
        <v>1803</v>
      </c>
      <c r="C44" s="47" t="s">
        <v>1820</v>
      </c>
      <c r="D44" s="48" t="s">
        <v>2650</v>
      </c>
      <c r="E44" s="48" t="s">
        <v>151</v>
      </c>
      <c r="F44" s="48" t="s">
        <v>15</v>
      </c>
      <c r="G44" s="47" t="s">
        <v>2019</v>
      </c>
      <c r="H44" s="48" t="s">
        <v>928</v>
      </c>
      <c r="I44" s="48" t="s">
        <v>928</v>
      </c>
      <c r="J44" s="48" t="s">
        <v>928</v>
      </c>
      <c r="K44" s="48" t="s">
        <v>928</v>
      </c>
      <c r="L44" s="48" t="s">
        <v>2651</v>
      </c>
      <c r="M44" s="48" t="s">
        <v>2017</v>
      </c>
      <c r="N44" s="48" t="s">
        <v>671</v>
      </c>
      <c r="O44" s="48" t="s">
        <v>1812</v>
      </c>
      <c r="P44" s="47" t="s">
        <v>454</v>
      </c>
      <c r="Q44" s="49" t="s">
        <v>950</v>
      </c>
    </row>
    <row r="45" spans="1:17" ht="51.5" thickBot="1" x14ac:dyDescent="0.4">
      <c r="A45" s="46" t="s">
        <v>2020</v>
      </c>
      <c r="B45" s="47" t="s">
        <v>1803</v>
      </c>
      <c r="C45" s="47" t="s">
        <v>1827</v>
      </c>
      <c r="D45" s="48" t="s">
        <v>2652</v>
      </c>
      <c r="E45" s="48" t="s">
        <v>2021</v>
      </c>
      <c r="F45" s="48" t="s">
        <v>15</v>
      </c>
      <c r="G45" s="47" t="s">
        <v>1187</v>
      </c>
      <c r="H45" s="48" t="s">
        <v>2022</v>
      </c>
      <c r="I45" s="48" t="s">
        <v>2023</v>
      </c>
      <c r="J45" s="48" t="s">
        <v>928</v>
      </c>
      <c r="K45" s="48" t="s">
        <v>928</v>
      </c>
      <c r="L45" s="48" t="s">
        <v>2024</v>
      </c>
      <c r="M45" s="48" t="s">
        <v>2025</v>
      </c>
      <c r="N45" s="48" t="s">
        <v>2653</v>
      </c>
      <c r="O45" s="48" t="s">
        <v>2026</v>
      </c>
      <c r="P45" s="47" t="s">
        <v>454</v>
      </c>
      <c r="Q45" s="49" t="s">
        <v>2027</v>
      </c>
    </row>
    <row r="46" spans="1:17" ht="39" thickBot="1" x14ac:dyDescent="0.4">
      <c r="A46" s="46" t="s">
        <v>2028</v>
      </c>
      <c r="B46" s="47" t="s">
        <v>1803</v>
      </c>
      <c r="C46" s="47" t="s">
        <v>12</v>
      </c>
      <c r="D46" s="48" t="s">
        <v>2654</v>
      </c>
      <c r="E46" s="48" t="s">
        <v>770</v>
      </c>
      <c r="F46" s="48" t="s">
        <v>15</v>
      </c>
      <c r="G46" s="47" t="s">
        <v>2029</v>
      </c>
      <c r="H46" s="48" t="s">
        <v>928</v>
      </c>
      <c r="I46" s="48" t="s">
        <v>2030</v>
      </c>
      <c r="J46" s="48" t="s">
        <v>928</v>
      </c>
      <c r="K46" s="48" t="s">
        <v>2031</v>
      </c>
      <c r="L46" s="48" t="s">
        <v>1836</v>
      </c>
      <c r="M46" s="48" t="s">
        <v>2032</v>
      </c>
      <c r="N46" s="48" t="s">
        <v>726</v>
      </c>
      <c r="O46" s="48" t="s">
        <v>1812</v>
      </c>
      <c r="P46" s="47" t="s">
        <v>454</v>
      </c>
      <c r="Q46" s="49" t="s">
        <v>2033</v>
      </c>
    </row>
    <row r="47" spans="1:17" ht="26" x14ac:dyDescent="0.35">
      <c r="A47" s="50" t="s">
        <v>2034</v>
      </c>
      <c r="B47" s="51" t="s">
        <v>1803</v>
      </c>
      <c r="C47" s="51" t="s">
        <v>12</v>
      </c>
      <c r="D47" s="52" t="s">
        <v>2655</v>
      </c>
      <c r="E47" s="52" t="s">
        <v>1840</v>
      </c>
      <c r="F47" s="52" t="s">
        <v>15</v>
      </c>
      <c r="G47" s="51" t="s">
        <v>2035</v>
      </c>
      <c r="H47" s="52" t="s">
        <v>928</v>
      </c>
      <c r="I47" s="52" t="s">
        <v>928</v>
      </c>
      <c r="J47" s="52" t="s">
        <v>928</v>
      </c>
      <c r="K47" s="52" t="s">
        <v>928</v>
      </c>
      <c r="L47" s="52" t="s">
        <v>2656</v>
      </c>
      <c r="M47" s="52" t="s">
        <v>1930</v>
      </c>
      <c r="N47" s="52" t="s">
        <v>781</v>
      </c>
      <c r="O47" s="52" t="s">
        <v>1910</v>
      </c>
      <c r="P47" s="51" t="s">
        <v>454</v>
      </c>
      <c r="Q47" s="53" t="s">
        <v>950</v>
      </c>
    </row>
    <row r="51" spans="1:2" x14ac:dyDescent="0.35">
      <c r="A51" s="23" t="s">
        <v>1229</v>
      </c>
      <c r="B51" s="23">
        <f>COUNTIF($P$2:$P$47,"Yes")</f>
        <v>42</v>
      </c>
    </row>
    <row r="52" spans="1:2" x14ac:dyDescent="0.35">
      <c r="A52" s="23" t="s">
        <v>459</v>
      </c>
      <c r="B52" s="23">
        <f>COUNTIF($G$2:$G$47,"N/A")</f>
        <v>0</v>
      </c>
    </row>
    <row r="53" spans="1:2" x14ac:dyDescent="0.35">
      <c r="A53" s="23" t="s">
        <v>458</v>
      </c>
      <c r="B53" s="23">
        <f>COUNTIF($H$2:$H$47,"N/A")</f>
        <v>37</v>
      </c>
    </row>
    <row r="54" spans="1:2" x14ac:dyDescent="0.35">
      <c r="A54" s="23" t="s">
        <v>457</v>
      </c>
      <c r="B54" s="23">
        <f>COUNTIF($I$2:$I$47,"N/A")</f>
        <v>29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E247-DE09-4ADF-81A4-C8997E7C598D}">
  <dimension ref="A1:R48"/>
  <sheetViews>
    <sheetView topLeftCell="A40" workbookViewId="0">
      <selection activeCell="B45" sqref="B45"/>
    </sheetView>
  </sheetViews>
  <sheetFormatPr defaultRowHeight="14.5" x14ac:dyDescent="0.35"/>
  <cols>
    <col min="1" max="1" width="26.26953125" style="38" customWidth="1"/>
    <col min="2" max="2" width="8.7265625" style="38"/>
    <col min="3" max="3" width="14.81640625" style="38" customWidth="1"/>
    <col min="4" max="4" width="33.6328125" style="38" customWidth="1"/>
    <col min="5" max="5" width="14.36328125" style="38" customWidth="1"/>
    <col min="6" max="6" width="11.453125" style="38" customWidth="1"/>
    <col min="7" max="7" width="15.81640625" style="38" customWidth="1"/>
    <col min="8" max="8" width="26.1796875" style="38" customWidth="1"/>
    <col min="9" max="9" width="22.7265625" style="38" customWidth="1"/>
    <col min="10" max="10" width="24.81640625" style="38" customWidth="1"/>
    <col min="11" max="11" width="31.36328125" style="38" customWidth="1"/>
    <col min="12" max="12" width="23.7265625" style="38" customWidth="1"/>
    <col min="13" max="13" width="17.54296875" style="38" customWidth="1"/>
    <col min="14" max="14" width="22.7265625" style="38" customWidth="1"/>
    <col min="15" max="15" width="12.453125" style="38" customWidth="1"/>
    <col min="16" max="16" width="19.81640625" style="38" customWidth="1"/>
    <col min="17" max="17" width="17.26953125" style="38" customWidth="1"/>
    <col min="18" max="18" width="25.6328125" style="38" customWidth="1"/>
    <col min="19" max="16384" width="8.7265625" style="38"/>
  </cols>
  <sheetData>
    <row r="1" spans="1:18" ht="1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283</v>
      </c>
      <c r="I1" s="5" t="s">
        <v>485</v>
      </c>
      <c r="J1" s="5" t="s">
        <v>486</v>
      </c>
      <c r="K1" s="5" t="s">
        <v>7</v>
      </c>
      <c r="L1" s="5" t="s">
        <v>487</v>
      </c>
      <c r="M1" s="5" t="s">
        <v>2036</v>
      </c>
      <c r="N1" s="5" t="s">
        <v>2037</v>
      </c>
      <c r="O1" s="5" t="s">
        <v>488</v>
      </c>
      <c r="P1" s="5" t="s">
        <v>489</v>
      </c>
      <c r="Q1" s="5" t="s">
        <v>8</v>
      </c>
      <c r="R1" s="6" t="s">
        <v>9</v>
      </c>
    </row>
    <row r="2" spans="1:18" ht="44" thickBot="1" x14ac:dyDescent="0.4">
      <c r="A2" s="3" t="s">
        <v>2038</v>
      </c>
      <c r="B2" s="1" t="s">
        <v>2039</v>
      </c>
      <c r="C2" s="1" t="s">
        <v>25</v>
      </c>
      <c r="D2" s="1" t="s">
        <v>2040</v>
      </c>
      <c r="E2" s="1" t="s">
        <v>51</v>
      </c>
      <c r="F2" s="1" t="s">
        <v>15</v>
      </c>
      <c r="G2" s="1" t="s">
        <v>2041</v>
      </c>
      <c r="H2" s="1" t="s">
        <v>928</v>
      </c>
      <c r="I2" s="1" t="s">
        <v>928</v>
      </c>
      <c r="J2" s="1" t="s">
        <v>928</v>
      </c>
      <c r="K2" s="2" t="s">
        <v>2042</v>
      </c>
      <c r="L2" s="1" t="s">
        <v>2043</v>
      </c>
      <c r="M2" s="1" t="s">
        <v>2044</v>
      </c>
      <c r="N2" s="1" t="s">
        <v>2045</v>
      </c>
      <c r="O2" s="1" t="s">
        <v>2046</v>
      </c>
      <c r="P2" s="1" t="s">
        <v>540</v>
      </c>
      <c r="Q2" s="1" t="s">
        <v>454</v>
      </c>
      <c r="R2" s="26" t="s">
        <v>94</v>
      </c>
    </row>
    <row r="3" spans="1:18" ht="44" thickBot="1" x14ac:dyDescent="0.4">
      <c r="A3" s="3" t="s">
        <v>2047</v>
      </c>
      <c r="B3" s="1" t="s">
        <v>2039</v>
      </c>
      <c r="C3" s="1" t="s">
        <v>25</v>
      </c>
      <c r="D3" s="1" t="s">
        <v>2048</v>
      </c>
      <c r="E3" s="1" t="s">
        <v>1840</v>
      </c>
      <c r="F3" s="1" t="s">
        <v>15</v>
      </c>
      <c r="G3" s="1" t="s">
        <v>2049</v>
      </c>
      <c r="H3" s="1" t="s">
        <v>928</v>
      </c>
      <c r="I3" s="1" t="s">
        <v>928</v>
      </c>
      <c r="J3" s="1" t="s">
        <v>928</v>
      </c>
      <c r="K3" s="2" t="s">
        <v>2050</v>
      </c>
      <c r="L3" s="1" t="s">
        <v>2051</v>
      </c>
      <c r="M3" s="1" t="s">
        <v>2044</v>
      </c>
      <c r="N3" s="1" t="s">
        <v>2045</v>
      </c>
      <c r="O3" s="1" t="s">
        <v>2046</v>
      </c>
      <c r="P3" s="1" t="s">
        <v>540</v>
      </c>
      <c r="Q3" s="1" t="s">
        <v>454</v>
      </c>
      <c r="R3" s="26" t="s">
        <v>94</v>
      </c>
    </row>
    <row r="4" spans="1:18" ht="44" thickBot="1" x14ac:dyDescent="0.4">
      <c r="A4" s="3" t="s">
        <v>1570</v>
      </c>
      <c r="B4" s="1" t="s">
        <v>2039</v>
      </c>
      <c r="C4" s="1" t="s">
        <v>12</v>
      </c>
      <c r="D4" s="1" t="s">
        <v>2052</v>
      </c>
      <c r="E4" s="1" t="s">
        <v>51</v>
      </c>
      <c r="F4" s="1" t="s">
        <v>15</v>
      </c>
      <c r="G4" s="1" t="s">
        <v>42</v>
      </c>
      <c r="H4" s="1" t="s">
        <v>928</v>
      </c>
      <c r="I4" s="2" t="s">
        <v>43</v>
      </c>
      <c r="J4" s="1" t="s">
        <v>928</v>
      </c>
      <c r="K4" s="2" t="s">
        <v>1523</v>
      </c>
      <c r="L4" s="1" t="s">
        <v>934</v>
      </c>
      <c r="M4" s="1" t="s">
        <v>2044</v>
      </c>
      <c r="N4" s="1" t="s">
        <v>2053</v>
      </c>
      <c r="O4" s="1" t="s">
        <v>618</v>
      </c>
      <c r="P4" s="1" t="s">
        <v>540</v>
      </c>
      <c r="Q4" s="1" t="s">
        <v>454</v>
      </c>
      <c r="R4" s="24" t="s">
        <v>43</v>
      </c>
    </row>
    <row r="5" spans="1:18" ht="44" thickBot="1" x14ac:dyDescent="0.4">
      <c r="A5" s="3" t="s">
        <v>589</v>
      </c>
      <c r="B5" s="1" t="s">
        <v>2039</v>
      </c>
      <c r="C5" s="1" t="s">
        <v>12</v>
      </c>
      <c r="D5" s="1" t="s">
        <v>2054</v>
      </c>
      <c r="E5" s="1" t="s">
        <v>72</v>
      </c>
      <c r="F5" s="1" t="s">
        <v>15</v>
      </c>
      <c r="G5" s="1" t="s">
        <v>592</v>
      </c>
      <c r="H5" s="1" t="s">
        <v>928</v>
      </c>
      <c r="I5" s="2" t="s">
        <v>593</v>
      </c>
      <c r="J5" s="1" t="s">
        <v>928</v>
      </c>
      <c r="K5" s="2" t="s">
        <v>1736</v>
      </c>
      <c r="L5" s="1" t="s">
        <v>2055</v>
      </c>
      <c r="M5" s="1" t="s">
        <v>2044</v>
      </c>
      <c r="N5" s="1" t="s">
        <v>2053</v>
      </c>
      <c r="O5" s="1" t="s">
        <v>2056</v>
      </c>
      <c r="P5" s="1" t="s">
        <v>546</v>
      </c>
      <c r="Q5" s="1" t="s">
        <v>454</v>
      </c>
      <c r="R5" s="24" t="s">
        <v>593</v>
      </c>
    </row>
    <row r="6" spans="1:18" ht="44" thickBot="1" x14ac:dyDescent="0.4">
      <c r="A6" s="3" t="s">
        <v>2057</v>
      </c>
      <c r="B6" s="1" t="s">
        <v>2039</v>
      </c>
      <c r="C6" s="1" t="s">
        <v>2058</v>
      </c>
      <c r="D6" s="1" t="s">
        <v>2059</v>
      </c>
      <c r="E6" s="1" t="s">
        <v>78</v>
      </c>
      <c r="F6" s="1" t="s">
        <v>15</v>
      </c>
      <c r="G6" s="1" t="s">
        <v>928</v>
      </c>
      <c r="H6" s="1" t="s">
        <v>928</v>
      </c>
      <c r="I6" s="1" t="s">
        <v>928</v>
      </c>
      <c r="J6" s="1" t="s">
        <v>928</v>
      </c>
      <c r="K6" s="2" t="s">
        <v>2060</v>
      </c>
      <c r="L6" s="1" t="s">
        <v>2061</v>
      </c>
      <c r="M6" s="1" t="s">
        <v>2044</v>
      </c>
      <c r="N6" s="1" t="s">
        <v>2045</v>
      </c>
      <c r="O6" s="1" t="s">
        <v>700</v>
      </c>
      <c r="P6" s="1" t="s">
        <v>2062</v>
      </c>
      <c r="Q6" s="1" t="s">
        <v>454</v>
      </c>
      <c r="R6" s="26" t="s">
        <v>94</v>
      </c>
    </row>
    <row r="7" spans="1:18" ht="44" thickBot="1" x14ac:dyDescent="0.4">
      <c r="A7" s="3" t="s">
        <v>81</v>
      </c>
      <c r="B7" s="1" t="s">
        <v>2039</v>
      </c>
      <c r="C7" s="1" t="s">
        <v>12</v>
      </c>
      <c r="D7" s="1" t="s">
        <v>1578</v>
      </c>
      <c r="E7" s="1" t="s">
        <v>78</v>
      </c>
      <c r="F7" s="1" t="s">
        <v>15</v>
      </c>
      <c r="G7" s="1" t="s">
        <v>2063</v>
      </c>
      <c r="H7" s="1" t="s">
        <v>928</v>
      </c>
      <c r="I7" s="1" t="s">
        <v>928</v>
      </c>
      <c r="J7" s="1" t="s">
        <v>928</v>
      </c>
      <c r="K7" s="2" t="s">
        <v>1451</v>
      </c>
      <c r="L7" s="1" t="s">
        <v>934</v>
      </c>
      <c r="M7" s="1" t="s">
        <v>2044</v>
      </c>
      <c r="N7" s="1" t="s">
        <v>2045</v>
      </c>
      <c r="O7" s="1" t="s">
        <v>520</v>
      </c>
      <c r="P7" s="1" t="s">
        <v>540</v>
      </c>
      <c r="Q7" s="1" t="s">
        <v>454</v>
      </c>
      <c r="R7" s="26" t="s">
        <v>94</v>
      </c>
    </row>
    <row r="8" spans="1:18" ht="44" thickBot="1" x14ac:dyDescent="0.4">
      <c r="A8" s="3" t="s">
        <v>2064</v>
      </c>
      <c r="B8" s="1" t="s">
        <v>2039</v>
      </c>
      <c r="C8" s="1" t="s">
        <v>2058</v>
      </c>
      <c r="D8" s="1" t="s">
        <v>2065</v>
      </c>
      <c r="E8" s="1" t="s">
        <v>37</v>
      </c>
      <c r="F8" s="1" t="s">
        <v>15</v>
      </c>
      <c r="G8" s="1" t="s">
        <v>2066</v>
      </c>
      <c r="H8" s="1" t="s">
        <v>940</v>
      </c>
      <c r="I8" s="2" t="s">
        <v>2067</v>
      </c>
      <c r="J8" s="1" t="s">
        <v>928</v>
      </c>
      <c r="K8" s="2" t="s">
        <v>2068</v>
      </c>
      <c r="L8" s="1" t="s">
        <v>2069</v>
      </c>
      <c r="M8" s="1" t="s">
        <v>2044</v>
      </c>
      <c r="N8" s="1" t="s">
        <v>2045</v>
      </c>
      <c r="O8" s="1" t="s">
        <v>618</v>
      </c>
      <c r="P8" s="1" t="s">
        <v>540</v>
      </c>
      <c r="Q8" s="1" t="s">
        <v>454</v>
      </c>
      <c r="R8" s="24" t="s">
        <v>2067</v>
      </c>
    </row>
    <row r="9" spans="1:18" ht="51.5" thickBot="1" x14ac:dyDescent="0.4">
      <c r="A9" s="3" t="s">
        <v>2070</v>
      </c>
      <c r="B9" s="1" t="s">
        <v>2039</v>
      </c>
      <c r="C9" s="1" t="s">
        <v>12</v>
      </c>
      <c r="D9" s="1" t="s">
        <v>2071</v>
      </c>
      <c r="E9" s="1" t="s">
        <v>14</v>
      </c>
      <c r="F9" s="1" t="s">
        <v>15</v>
      </c>
      <c r="G9" s="1" t="s">
        <v>2072</v>
      </c>
      <c r="H9" s="1" t="s">
        <v>928</v>
      </c>
      <c r="I9" s="1" t="s">
        <v>928</v>
      </c>
      <c r="J9" s="1" t="s">
        <v>928</v>
      </c>
      <c r="K9" s="2" t="s">
        <v>2073</v>
      </c>
      <c r="L9" s="1" t="s">
        <v>2043</v>
      </c>
      <c r="M9" s="1" t="s">
        <v>2044</v>
      </c>
      <c r="N9" s="1" t="s">
        <v>2045</v>
      </c>
      <c r="O9" s="1" t="s">
        <v>520</v>
      </c>
      <c r="P9" s="1" t="s">
        <v>540</v>
      </c>
      <c r="Q9" s="1" t="s">
        <v>454</v>
      </c>
      <c r="R9" s="26" t="s">
        <v>94</v>
      </c>
    </row>
    <row r="10" spans="1:18" ht="51.5" thickBot="1" x14ac:dyDescent="0.4">
      <c r="A10" s="3" t="s">
        <v>367</v>
      </c>
      <c r="B10" s="1" t="s">
        <v>2039</v>
      </c>
      <c r="C10" s="1" t="s">
        <v>12</v>
      </c>
      <c r="D10" s="1" t="s">
        <v>2074</v>
      </c>
      <c r="E10" s="1" t="s">
        <v>14</v>
      </c>
      <c r="F10" s="1" t="s">
        <v>15</v>
      </c>
      <c r="G10" s="1" t="s">
        <v>928</v>
      </c>
      <c r="H10" s="1" t="s">
        <v>928</v>
      </c>
      <c r="I10" s="1" t="s">
        <v>928</v>
      </c>
      <c r="J10" s="1" t="s">
        <v>928</v>
      </c>
      <c r="K10" s="2" t="s">
        <v>1546</v>
      </c>
      <c r="L10" s="1" t="s">
        <v>2076</v>
      </c>
      <c r="M10" s="1" t="s">
        <v>2044</v>
      </c>
      <c r="N10" s="1" t="s">
        <v>2045</v>
      </c>
      <c r="O10" s="1" t="s">
        <v>781</v>
      </c>
      <c r="P10" s="1" t="s">
        <v>540</v>
      </c>
      <c r="Q10" s="1" t="s">
        <v>454</v>
      </c>
      <c r="R10" s="24" t="s">
        <v>2075</v>
      </c>
    </row>
    <row r="11" spans="1:18" ht="58.5" thickBot="1" x14ac:dyDescent="0.4">
      <c r="A11" s="3" t="s">
        <v>2077</v>
      </c>
      <c r="B11" s="1" t="s">
        <v>2039</v>
      </c>
      <c r="C11" s="1" t="s">
        <v>25</v>
      </c>
      <c r="D11" s="1" t="s">
        <v>2078</v>
      </c>
      <c r="E11" s="1" t="s">
        <v>14</v>
      </c>
      <c r="F11" s="1" t="s">
        <v>15</v>
      </c>
      <c r="G11" s="1" t="s">
        <v>928</v>
      </c>
      <c r="H11" s="1" t="s">
        <v>928</v>
      </c>
      <c r="I11" s="1" t="s">
        <v>928</v>
      </c>
      <c r="J11" s="1" t="s">
        <v>928</v>
      </c>
      <c r="K11" s="2" t="s">
        <v>2079</v>
      </c>
      <c r="L11" s="1" t="s">
        <v>2055</v>
      </c>
      <c r="M11" s="1" t="s">
        <v>2044</v>
      </c>
      <c r="N11" s="1" t="s">
        <v>2045</v>
      </c>
      <c r="O11" s="1" t="s">
        <v>2080</v>
      </c>
      <c r="P11" s="1" t="s">
        <v>2062</v>
      </c>
      <c r="Q11" s="1" t="s">
        <v>454</v>
      </c>
      <c r="R11" s="27" t="s">
        <v>2081</v>
      </c>
    </row>
    <row r="12" spans="1:18" ht="44" thickBot="1" x14ac:dyDescent="0.4">
      <c r="A12" s="3" t="s">
        <v>2082</v>
      </c>
      <c r="B12" s="1" t="s">
        <v>2039</v>
      </c>
      <c r="C12" s="1" t="s">
        <v>12</v>
      </c>
      <c r="D12" s="1" t="s">
        <v>2083</v>
      </c>
      <c r="E12" s="1" t="s">
        <v>2084</v>
      </c>
      <c r="F12" s="1" t="s">
        <v>15</v>
      </c>
      <c r="G12" s="1" t="s">
        <v>928</v>
      </c>
      <c r="H12" s="1" t="s">
        <v>928</v>
      </c>
      <c r="I12" s="1" t="s">
        <v>928</v>
      </c>
      <c r="J12" s="1" t="s">
        <v>928</v>
      </c>
      <c r="K12" s="2" t="s">
        <v>2085</v>
      </c>
      <c r="L12" s="1" t="s">
        <v>2086</v>
      </c>
      <c r="M12" s="1" t="s">
        <v>2044</v>
      </c>
      <c r="N12" s="1" t="s">
        <v>2053</v>
      </c>
      <c r="O12" s="1" t="s">
        <v>972</v>
      </c>
      <c r="P12" s="1" t="s">
        <v>540</v>
      </c>
      <c r="Q12" s="1" t="s">
        <v>1319</v>
      </c>
      <c r="R12" s="27" t="s">
        <v>950</v>
      </c>
    </row>
    <row r="13" spans="1:18" ht="64" thickBot="1" x14ac:dyDescent="0.4">
      <c r="A13" s="3" t="s">
        <v>2087</v>
      </c>
      <c r="B13" s="1" t="s">
        <v>2039</v>
      </c>
      <c r="C13" s="1" t="s">
        <v>12</v>
      </c>
      <c r="D13" s="1" t="s">
        <v>2088</v>
      </c>
      <c r="E13" s="1" t="s">
        <v>117</v>
      </c>
      <c r="F13" s="1" t="s">
        <v>15</v>
      </c>
      <c r="G13" s="1" t="s">
        <v>2089</v>
      </c>
      <c r="H13" s="1" t="s">
        <v>2090</v>
      </c>
      <c r="I13" s="2" t="s">
        <v>2091</v>
      </c>
      <c r="J13" s="1" t="s">
        <v>928</v>
      </c>
      <c r="K13" s="2" t="s">
        <v>2092</v>
      </c>
      <c r="L13" s="1" t="s">
        <v>2093</v>
      </c>
      <c r="M13" s="1" t="s">
        <v>2044</v>
      </c>
      <c r="N13" s="1" t="s">
        <v>2094</v>
      </c>
      <c r="O13" s="1" t="s">
        <v>2095</v>
      </c>
      <c r="P13" s="1" t="s">
        <v>2062</v>
      </c>
      <c r="Q13" s="1" t="s">
        <v>454</v>
      </c>
      <c r="R13" s="24" t="s">
        <v>2091</v>
      </c>
    </row>
    <row r="14" spans="1:18" ht="58.5" thickBot="1" x14ac:dyDescent="0.4">
      <c r="A14" s="3" t="s">
        <v>2096</v>
      </c>
      <c r="B14" s="1" t="s">
        <v>2039</v>
      </c>
      <c r="C14" s="1" t="s">
        <v>12</v>
      </c>
      <c r="D14" s="1" t="s">
        <v>2097</v>
      </c>
      <c r="E14" s="1" t="s">
        <v>117</v>
      </c>
      <c r="F14" s="1" t="s">
        <v>15</v>
      </c>
      <c r="G14" s="1" t="s">
        <v>2098</v>
      </c>
      <c r="H14" s="1" t="s">
        <v>928</v>
      </c>
      <c r="I14" s="1" t="s">
        <v>928</v>
      </c>
      <c r="J14" s="1" t="s">
        <v>928</v>
      </c>
      <c r="K14" s="2" t="s">
        <v>2099</v>
      </c>
      <c r="L14" s="1" t="s">
        <v>2100</v>
      </c>
      <c r="M14" s="1" t="s">
        <v>2044</v>
      </c>
      <c r="N14" s="1" t="s">
        <v>2053</v>
      </c>
      <c r="O14" s="1" t="s">
        <v>726</v>
      </c>
      <c r="P14" s="1" t="s">
        <v>546</v>
      </c>
      <c r="Q14" s="1" t="s">
        <v>454</v>
      </c>
      <c r="R14" s="24" t="s">
        <v>2101</v>
      </c>
    </row>
    <row r="15" spans="1:18" ht="44" thickBot="1" x14ac:dyDescent="0.4">
      <c r="A15" s="3" t="s">
        <v>1352</v>
      </c>
      <c r="B15" s="1" t="s">
        <v>2039</v>
      </c>
      <c r="C15" s="1" t="s">
        <v>12</v>
      </c>
      <c r="D15" s="1" t="s">
        <v>442</v>
      </c>
      <c r="E15" s="1" t="s">
        <v>122</v>
      </c>
      <c r="F15" s="1" t="s">
        <v>15</v>
      </c>
      <c r="G15" s="1" t="s">
        <v>42</v>
      </c>
      <c r="H15" s="1" t="s">
        <v>928</v>
      </c>
      <c r="I15" s="2" t="s">
        <v>43</v>
      </c>
      <c r="J15" s="1" t="s">
        <v>928</v>
      </c>
      <c r="K15" s="2" t="s">
        <v>1457</v>
      </c>
      <c r="L15" s="1" t="s">
        <v>2102</v>
      </c>
      <c r="M15" s="1" t="s">
        <v>2044</v>
      </c>
      <c r="N15" s="1" t="s">
        <v>2053</v>
      </c>
      <c r="O15" s="1" t="s">
        <v>726</v>
      </c>
      <c r="P15" s="1" t="s">
        <v>540</v>
      </c>
      <c r="Q15" s="1" t="s">
        <v>454</v>
      </c>
      <c r="R15" s="24" t="s">
        <v>43</v>
      </c>
    </row>
    <row r="16" spans="1:18" ht="44" thickBot="1" x14ac:dyDescent="0.4">
      <c r="A16" s="3" t="s">
        <v>2103</v>
      </c>
      <c r="B16" s="1" t="s">
        <v>2039</v>
      </c>
      <c r="C16" s="1" t="s">
        <v>12</v>
      </c>
      <c r="D16" s="1" t="s">
        <v>2104</v>
      </c>
      <c r="E16" s="1" t="s">
        <v>142</v>
      </c>
      <c r="F16" s="1" t="s">
        <v>15</v>
      </c>
      <c r="G16" s="1" t="s">
        <v>2105</v>
      </c>
      <c r="H16" s="1" t="s">
        <v>928</v>
      </c>
      <c r="I16" s="2" t="s">
        <v>2106</v>
      </c>
      <c r="J16" s="1" t="s">
        <v>928</v>
      </c>
      <c r="K16" s="2" t="s">
        <v>2107</v>
      </c>
      <c r="L16" s="1" t="s">
        <v>2108</v>
      </c>
      <c r="M16" s="1" t="s">
        <v>2044</v>
      </c>
      <c r="N16" s="1" t="s">
        <v>2094</v>
      </c>
      <c r="O16" s="1" t="s">
        <v>726</v>
      </c>
      <c r="P16" s="1" t="s">
        <v>540</v>
      </c>
      <c r="Q16" s="1" t="s">
        <v>454</v>
      </c>
      <c r="R16" s="24" t="s">
        <v>2106</v>
      </c>
    </row>
    <row r="17" spans="1:18" ht="51.5" thickBot="1" x14ac:dyDescent="0.4">
      <c r="A17" s="3" t="s">
        <v>2109</v>
      </c>
      <c r="B17" s="1" t="s">
        <v>2039</v>
      </c>
      <c r="C17" s="1" t="s">
        <v>12</v>
      </c>
      <c r="D17" s="1" t="s">
        <v>2110</v>
      </c>
      <c r="E17" s="1" t="s">
        <v>151</v>
      </c>
      <c r="F17" s="1" t="s">
        <v>15</v>
      </c>
      <c r="G17" s="1" t="s">
        <v>2105</v>
      </c>
      <c r="H17" s="1" t="s">
        <v>928</v>
      </c>
      <c r="I17" s="2" t="s">
        <v>2106</v>
      </c>
      <c r="J17" s="1" t="s">
        <v>928</v>
      </c>
      <c r="K17" s="2" t="s">
        <v>2111</v>
      </c>
      <c r="L17" s="1" t="s">
        <v>2112</v>
      </c>
      <c r="M17" s="1" t="s">
        <v>2044</v>
      </c>
      <c r="N17" s="1" t="s">
        <v>2094</v>
      </c>
      <c r="O17" s="1" t="s">
        <v>1926</v>
      </c>
      <c r="P17" s="1" t="s">
        <v>2062</v>
      </c>
      <c r="Q17" s="1" t="s">
        <v>454</v>
      </c>
      <c r="R17" s="24" t="s">
        <v>2106</v>
      </c>
    </row>
    <row r="18" spans="1:18" ht="44" thickBot="1" x14ac:dyDescent="0.4">
      <c r="A18" s="3" t="s">
        <v>2113</v>
      </c>
      <c r="B18" s="1" t="s">
        <v>2039</v>
      </c>
      <c r="C18" s="1" t="s">
        <v>12</v>
      </c>
      <c r="D18" s="1" t="s">
        <v>2114</v>
      </c>
      <c r="E18" s="1" t="s">
        <v>172</v>
      </c>
      <c r="F18" s="1" t="s">
        <v>15</v>
      </c>
      <c r="G18" s="1" t="s">
        <v>2115</v>
      </c>
      <c r="H18" s="1" t="s">
        <v>928</v>
      </c>
      <c r="I18" s="1" t="s">
        <v>928</v>
      </c>
      <c r="J18" s="1" t="s">
        <v>928</v>
      </c>
      <c r="K18" s="2" t="s">
        <v>2117</v>
      </c>
      <c r="L18" s="1" t="s">
        <v>2118</v>
      </c>
      <c r="M18" s="1" t="s">
        <v>2044</v>
      </c>
      <c r="N18" s="1" t="s">
        <v>2045</v>
      </c>
      <c r="O18" s="1" t="s">
        <v>671</v>
      </c>
      <c r="P18" s="1" t="s">
        <v>540</v>
      </c>
      <c r="Q18" s="1" t="s">
        <v>454</v>
      </c>
      <c r="R18" s="24" t="s">
        <v>2116</v>
      </c>
    </row>
    <row r="19" spans="1:18" ht="44" thickBot="1" x14ac:dyDescent="0.4">
      <c r="A19" s="3" t="s">
        <v>183</v>
      </c>
      <c r="B19" s="1" t="s">
        <v>2039</v>
      </c>
      <c r="C19" s="1" t="s">
        <v>25</v>
      </c>
      <c r="D19" s="1" t="s">
        <v>2119</v>
      </c>
      <c r="E19" s="1" t="s">
        <v>211</v>
      </c>
      <c r="F19" s="1" t="s">
        <v>15</v>
      </c>
      <c r="G19" s="1" t="s">
        <v>185</v>
      </c>
      <c r="H19" s="1" t="s">
        <v>928</v>
      </c>
      <c r="I19" s="2" t="s">
        <v>2120</v>
      </c>
      <c r="J19" s="1" t="s">
        <v>928</v>
      </c>
      <c r="K19" s="2" t="s">
        <v>1761</v>
      </c>
      <c r="L19" s="1" t="s">
        <v>2121</v>
      </c>
      <c r="M19" s="1" t="s">
        <v>2122</v>
      </c>
      <c r="N19" s="1" t="s">
        <v>2045</v>
      </c>
      <c r="O19" s="1" t="s">
        <v>726</v>
      </c>
      <c r="P19" s="1" t="s">
        <v>540</v>
      </c>
      <c r="Q19" s="1" t="s">
        <v>454</v>
      </c>
      <c r="R19" s="24" t="s">
        <v>2120</v>
      </c>
    </row>
    <row r="20" spans="1:18" ht="51.5" thickBot="1" x14ac:dyDescent="0.4">
      <c r="A20" s="3" t="s">
        <v>2123</v>
      </c>
      <c r="B20" s="1" t="s">
        <v>2039</v>
      </c>
      <c r="C20" s="1" t="s">
        <v>12</v>
      </c>
      <c r="D20" s="1" t="s">
        <v>1388</v>
      </c>
      <c r="E20" s="1" t="s">
        <v>172</v>
      </c>
      <c r="F20" s="1" t="s">
        <v>15</v>
      </c>
      <c r="G20" s="1" t="s">
        <v>928</v>
      </c>
      <c r="H20" s="1" t="s">
        <v>928</v>
      </c>
      <c r="I20" s="1" t="s">
        <v>928</v>
      </c>
      <c r="J20" s="1" t="s">
        <v>928</v>
      </c>
      <c r="K20" s="2" t="s">
        <v>1468</v>
      </c>
      <c r="L20" s="1" t="s">
        <v>2124</v>
      </c>
      <c r="M20" s="1" t="s">
        <v>2044</v>
      </c>
      <c r="N20" s="1" t="s">
        <v>2053</v>
      </c>
      <c r="O20" s="1" t="s">
        <v>726</v>
      </c>
      <c r="P20" s="1" t="s">
        <v>546</v>
      </c>
      <c r="Q20" s="1" t="s">
        <v>1319</v>
      </c>
      <c r="R20" s="24" t="s">
        <v>2125</v>
      </c>
    </row>
    <row r="21" spans="1:18" ht="58.5" thickBot="1" x14ac:dyDescent="0.4">
      <c r="A21" s="3" t="s">
        <v>2126</v>
      </c>
      <c r="B21" s="1" t="s">
        <v>2039</v>
      </c>
      <c r="C21" s="1" t="s">
        <v>25</v>
      </c>
      <c r="D21" s="1" t="s">
        <v>2127</v>
      </c>
      <c r="E21" s="1" t="s">
        <v>151</v>
      </c>
      <c r="F21" s="1" t="s">
        <v>15</v>
      </c>
      <c r="G21" s="1" t="s">
        <v>2041</v>
      </c>
      <c r="H21" s="1" t="s">
        <v>928</v>
      </c>
      <c r="I21" s="1" t="s">
        <v>928</v>
      </c>
      <c r="J21" s="2" t="s">
        <v>2128</v>
      </c>
      <c r="K21" s="2" t="s">
        <v>2042</v>
      </c>
      <c r="L21" s="1" t="s">
        <v>2129</v>
      </c>
      <c r="M21" s="1" t="s">
        <v>2044</v>
      </c>
      <c r="N21" s="1" t="s">
        <v>2130</v>
      </c>
      <c r="O21" s="1" t="s">
        <v>2131</v>
      </c>
      <c r="P21" s="1" t="s">
        <v>540</v>
      </c>
      <c r="Q21" s="1" t="s">
        <v>454</v>
      </c>
      <c r="R21" s="24" t="s">
        <v>2132</v>
      </c>
    </row>
    <row r="22" spans="1:18" ht="44" thickBot="1" x14ac:dyDescent="0.4">
      <c r="A22" s="3" t="s">
        <v>158</v>
      </c>
      <c r="B22" s="1" t="s">
        <v>2039</v>
      </c>
      <c r="C22" s="1" t="s">
        <v>31</v>
      </c>
      <c r="D22" s="1" t="s">
        <v>1366</v>
      </c>
      <c r="E22" s="1" t="s">
        <v>151</v>
      </c>
      <c r="F22" s="1" t="s">
        <v>15</v>
      </c>
      <c r="G22" s="1" t="s">
        <v>160</v>
      </c>
      <c r="H22" s="1" t="s">
        <v>928</v>
      </c>
      <c r="I22" s="2" t="s">
        <v>161</v>
      </c>
      <c r="J22" s="1" t="s">
        <v>928</v>
      </c>
      <c r="K22" s="2" t="s">
        <v>1461</v>
      </c>
      <c r="L22" s="1" t="s">
        <v>928</v>
      </c>
      <c r="M22" s="1" t="s">
        <v>2044</v>
      </c>
      <c r="N22" s="1" t="s">
        <v>2053</v>
      </c>
      <c r="O22" s="1" t="s">
        <v>1926</v>
      </c>
      <c r="P22" s="1" t="s">
        <v>546</v>
      </c>
      <c r="Q22" s="1" t="s">
        <v>454</v>
      </c>
      <c r="R22" s="24" t="s">
        <v>161</v>
      </c>
    </row>
    <row r="23" spans="1:18" ht="44" thickBot="1" x14ac:dyDescent="0.4">
      <c r="A23" s="3" t="s">
        <v>2133</v>
      </c>
      <c r="B23" s="1" t="s">
        <v>2039</v>
      </c>
      <c r="C23" s="1" t="s">
        <v>2058</v>
      </c>
      <c r="D23" s="1" t="s">
        <v>2088</v>
      </c>
      <c r="E23" s="1" t="s">
        <v>117</v>
      </c>
      <c r="F23" s="1" t="s">
        <v>15</v>
      </c>
      <c r="G23" s="1" t="s">
        <v>2089</v>
      </c>
      <c r="H23" s="1" t="s">
        <v>2090</v>
      </c>
      <c r="I23" s="2" t="s">
        <v>2091</v>
      </c>
      <c r="J23" s="1" t="s">
        <v>928</v>
      </c>
      <c r="K23" s="2" t="s">
        <v>2134</v>
      </c>
      <c r="L23" s="1" t="s">
        <v>2135</v>
      </c>
      <c r="M23" s="1" t="s">
        <v>2044</v>
      </c>
      <c r="N23" s="1" t="s">
        <v>2094</v>
      </c>
      <c r="O23" s="1" t="s">
        <v>2136</v>
      </c>
      <c r="P23" s="1" t="s">
        <v>2026</v>
      </c>
      <c r="Q23" s="1" t="s">
        <v>454</v>
      </c>
      <c r="R23" s="24" t="s">
        <v>2091</v>
      </c>
    </row>
    <row r="24" spans="1:18" ht="44" thickBot="1" x14ac:dyDescent="0.4">
      <c r="A24" s="3" t="s">
        <v>2137</v>
      </c>
      <c r="B24" s="1" t="s">
        <v>2039</v>
      </c>
      <c r="C24" s="1" t="s">
        <v>2058</v>
      </c>
      <c r="D24" s="1" t="s">
        <v>2138</v>
      </c>
      <c r="E24" s="1" t="s">
        <v>1652</v>
      </c>
      <c r="F24" s="1" t="s">
        <v>15</v>
      </c>
      <c r="G24" s="1" t="s">
        <v>1653</v>
      </c>
      <c r="H24" s="1" t="s">
        <v>928</v>
      </c>
      <c r="I24" s="2" t="s">
        <v>1655</v>
      </c>
      <c r="J24" s="1" t="s">
        <v>928</v>
      </c>
      <c r="K24" s="2" t="s">
        <v>2139</v>
      </c>
      <c r="L24" s="1" t="s">
        <v>2140</v>
      </c>
      <c r="M24" s="1" t="s">
        <v>2141</v>
      </c>
      <c r="N24" s="1" t="s">
        <v>2130</v>
      </c>
      <c r="O24" s="1" t="s">
        <v>840</v>
      </c>
      <c r="P24" s="1" t="s">
        <v>540</v>
      </c>
      <c r="Q24" s="1" t="s">
        <v>454</v>
      </c>
      <c r="R24" s="24" t="s">
        <v>1655</v>
      </c>
    </row>
    <row r="25" spans="1:18" ht="51.5" thickBot="1" x14ac:dyDescent="0.4">
      <c r="A25" s="3" t="s">
        <v>2142</v>
      </c>
      <c r="B25" s="1" t="s">
        <v>2039</v>
      </c>
      <c r="C25" s="1" t="s">
        <v>12</v>
      </c>
      <c r="D25" s="1" t="s">
        <v>2143</v>
      </c>
      <c r="E25" s="1" t="s">
        <v>229</v>
      </c>
      <c r="F25" s="1" t="s">
        <v>15</v>
      </c>
      <c r="G25" s="1" t="s">
        <v>2144</v>
      </c>
      <c r="H25" s="1" t="s">
        <v>928</v>
      </c>
      <c r="I25" s="2" t="s">
        <v>2145</v>
      </c>
      <c r="J25" s="1" t="s">
        <v>928</v>
      </c>
      <c r="K25" s="2" t="s">
        <v>2146</v>
      </c>
      <c r="L25" s="1" t="s">
        <v>2147</v>
      </c>
      <c r="M25" s="1" t="s">
        <v>2148</v>
      </c>
      <c r="N25" s="1" t="s">
        <v>2130</v>
      </c>
      <c r="O25" s="1" t="s">
        <v>2149</v>
      </c>
      <c r="P25" s="1" t="s">
        <v>2062</v>
      </c>
      <c r="Q25" s="1" t="s">
        <v>454</v>
      </c>
      <c r="R25" s="24" t="s">
        <v>2145</v>
      </c>
    </row>
    <row r="26" spans="1:18" ht="51.5" thickBot="1" x14ac:dyDescent="0.4">
      <c r="A26" s="3" t="s">
        <v>217</v>
      </c>
      <c r="B26" s="1" t="s">
        <v>2039</v>
      </c>
      <c r="C26" s="1" t="s">
        <v>12</v>
      </c>
      <c r="D26" s="1" t="s">
        <v>2150</v>
      </c>
      <c r="E26" s="1" t="s">
        <v>219</v>
      </c>
      <c r="F26" s="1" t="s">
        <v>15</v>
      </c>
      <c r="G26" s="1" t="s">
        <v>220</v>
      </c>
      <c r="H26" s="1" t="s">
        <v>928</v>
      </c>
      <c r="I26" s="2" t="s">
        <v>221</v>
      </c>
      <c r="J26" s="1" t="s">
        <v>928</v>
      </c>
      <c r="K26" s="2" t="s">
        <v>1535</v>
      </c>
      <c r="L26" s="1" t="s">
        <v>2151</v>
      </c>
      <c r="M26" s="1" t="s">
        <v>2044</v>
      </c>
      <c r="N26" s="1" t="s">
        <v>2130</v>
      </c>
      <c r="O26" s="1" t="s">
        <v>781</v>
      </c>
      <c r="P26" s="1" t="s">
        <v>540</v>
      </c>
      <c r="Q26" s="1" t="s">
        <v>454</v>
      </c>
      <c r="R26" s="24" t="s">
        <v>221</v>
      </c>
    </row>
    <row r="27" spans="1:18" ht="44" thickBot="1" x14ac:dyDescent="0.4">
      <c r="A27" s="3" t="s">
        <v>408</v>
      </c>
      <c r="B27" s="1" t="s">
        <v>2039</v>
      </c>
      <c r="C27" s="1" t="s">
        <v>12</v>
      </c>
      <c r="D27" s="1" t="s">
        <v>2152</v>
      </c>
      <c r="E27" s="1" t="s">
        <v>219</v>
      </c>
      <c r="F27" s="1" t="s">
        <v>15</v>
      </c>
      <c r="G27" s="1" t="s">
        <v>410</v>
      </c>
      <c r="H27" s="1" t="s">
        <v>928</v>
      </c>
      <c r="I27" s="1" t="s">
        <v>928</v>
      </c>
      <c r="J27" s="1" t="s">
        <v>928</v>
      </c>
      <c r="K27" s="2" t="s">
        <v>1536</v>
      </c>
      <c r="L27" s="1" t="s">
        <v>2153</v>
      </c>
      <c r="M27" s="1" t="s">
        <v>2141</v>
      </c>
      <c r="N27" s="1" t="s">
        <v>2154</v>
      </c>
      <c r="O27" s="1" t="s">
        <v>2131</v>
      </c>
      <c r="P27" s="1" t="s">
        <v>546</v>
      </c>
      <c r="Q27" s="1" t="s">
        <v>454</v>
      </c>
      <c r="R27" s="26" t="s">
        <v>94</v>
      </c>
    </row>
    <row r="28" spans="1:18" ht="44" thickBot="1" x14ac:dyDescent="0.4">
      <c r="A28" s="3" t="s">
        <v>223</v>
      </c>
      <c r="B28" s="1" t="s">
        <v>2039</v>
      </c>
      <c r="C28" s="1" t="s">
        <v>12</v>
      </c>
      <c r="D28" s="1" t="s">
        <v>224</v>
      </c>
      <c r="E28" s="1" t="s">
        <v>219</v>
      </c>
      <c r="F28" s="1" t="s">
        <v>15</v>
      </c>
      <c r="G28" s="1" t="s">
        <v>225</v>
      </c>
      <c r="H28" s="1" t="s">
        <v>928</v>
      </c>
      <c r="I28" s="1" t="s">
        <v>928</v>
      </c>
      <c r="J28" s="1" t="s">
        <v>928</v>
      </c>
      <c r="K28" s="2" t="s">
        <v>1534</v>
      </c>
      <c r="L28" s="1" t="s">
        <v>2155</v>
      </c>
      <c r="M28" s="1" t="s">
        <v>2148</v>
      </c>
      <c r="N28" s="1" t="s">
        <v>2156</v>
      </c>
      <c r="O28" s="1" t="s">
        <v>2157</v>
      </c>
      <c r="P28" s="1" t="s">
        <v>540</v>
      </c>
      <c r="Q28" s="1" t="s">
        <v>454</v>
      </c>
      <c r="R28" s="26" t="s">
        <v>94</v>
      </c>
    </row>
    <row r="29" spans="1:18" ht="44" thickBot="1" x14ac:dyDescent="0.4">
      <c r="A29" s="3" t="s">
        <v>2158</v>
      </c>
      <c r="B29" s="1" t="s">
        <v>2039</v>
      </c>
      <c r="C29" s="1" t="s">
        <v>2058</v>
      </c>
      <c r="D29" s="1" t="s">
        <v>2159</v>
      </c>
      <c r="E29" s="1" t="s">
        <v>219</v>
      </c>
      <c r="F29" s="1" t="s">
        <v>15</v>
      </c>
      <c r="G29" s="1" t="s">
        <v>928</v>
      </c>
      <c r="H29" s="1" t="s">
        <v>928</v>
      </c>
      <c r="I29" s="1" t="s">
        <v>928</v>
      </c>
      <c r="J29" s="1" t="s">
        <v>928</v>
      </c>
      <c r="K29" s="2" t="s">
        <v>2160</v>
      </c>
      <c r="L29" s="1" t="s">
        <v>2161</v>
      </c>
      <c r="M29" s="1" t="s">
        <v>2141</v>
      </c>
      <c r="N29" s="1" t="s">
        <v>2154</v>
      </c>
      <c r="O29" s="1" t="s">
        <v>726</v>
      </c>
      <c r="P29" s="1" t="s">
        <v>546</v>
      </c>
      <c r="Q29" s="1" t="s">
        <v>1319</v>
      </c>
      <c r="R29" s="26" t="s">
        <v>94</v>
      </c>
    </row>
    <row r="30" spans="1:18" ht="44" thickBot="1" x14ac:dyDescent="0.4">
      <c r="A30" s="3" t="s">
        <v>2162</v>
      </c>
      <c r="B30" s="1" t="s">
        <v>2039</v>
      </c>
      <c r="C30" s="1" t="s">
        <v>25</v>
      </c>
      <c r="D30" s="1" t="s">
        <v>2163</v>
      </c>
      <c r="E30" s="1" t="s">
        <v>257</v>
      </c>
      <c r="F30" s="1" t="s">
        <v>15</v>
      </c>
      <c r="G30" s="1" t="s">
        <v>2164</v>
      </c>
      <c r="H30" s="1" t="s">
        <v>928</v>
      </c>
      <c r="I30" s="1" t="s">
        <v>928</v>
      </c>
      <c r="J30" s="1" t="s">
        <v>928</v>
      </c>
      <c r="K30" s="2" t="s">
        <v>2165</v>
      </c>
      <c r="L30" s="1" t="s">
        <v>2155</v>
      </c>
      <c r="M30" s="1" t="s">
        <v>2166</v>
      </c>
      <c r="N30" s="1" t="s">
        <v>2154</v>
      </c>
      <c r="O30" s="1" t="s">
        <v>2167</v>
      </c>
      <c r="P30" s="1" t="s">
        <v>546</v>
      </c>
      <c r="Q30" s="1" t="s">
        <v>454</v>
      </c>
      <c r="R30" s="26" t="s">
        <v>94</v>
      </c>
    </row>
    <row r="31" spans="1:18" ht="44" thickBot="1" x14ac:dyDescent="0.4">
      <c r="A31" s="3" t="s">
        <v>2168</v>
      </c>
      <c r="B31" s="1" t="s">
        <v>2039</v>
      </c>
      <c r="C31" s="1" t="s">
        <v>2058</v>
      </c>
      <c r="D31" s="1" t="s">
        <v>2169</v>
      </c>
      <c r="E31" s="1" t="s">
        <v>1652</v>
      </c>
      <c r="F31" s="1" t="s">
        <v>15</v>
      </c>
      <c r="G31" s="1" t="s">
        <v>2170</v>
      </c>
      <c r="H31" s="1" t="s">
        <v>928</v>
      </c>
      <c r="I31" s="1" t="s">
        <v>928</v>
      </c>
      <c r="J31" s="1" t="s">
        <v>928</v>
      </c>
      <c r="K31" s="2" t="s">
        <v>2171</v>
      </c>
      <c r="L31" s="1" t="s">
        <v>2172</v>
      </c>
      <c r="M31" s="1" t="s">
        <v>2141</v>
      </c>
      <c r="N31" s="1" t="s">
        <v>2173</v>
      </c>
      <c r="O31" s="1" t="s">
        <v>972</v>
      </c>
      <c r="P31" s="1" t="s">
        <v>546</v>
      </c>
      <c r="Q31" s="1" t="s">
        <v>454</v>
      </c>
      <c r="R31" s="26" t="s">
        <v>94</v>
      </c>
    </row>
    <row r="32" spans="1:18" ht="44" thickBot="1" x14ac:dyDescent="0.4">
      <c r="A32" s="3" t="s">
        <v>2174</v>
      </c>
      <c r="B32" s="1" t="s">
        <v>2039</v>
      </c>
      <c r="C32" s="1" t="s">
        <v>2058</v>
      </c>
      <c r="D32" s="1" t="s">
        <v>2175</v>
      </c>
      <c r="E32" s="1" t="s">
        <v>257</v>
      </c>
      <c r="F32" s="1" t="s">
        <v>15</v>
      </c>
      <c r="G32" s="1" t="s">
        <v>928</v>
      </c>
      <c r="H32" s="1" t="s">
        <v>928</v>
      </c>
      <c r="I32" s="1" t="s">
        <v>928</v>
      </c>
      <c r="J32" s="1" t="s">
        <v>928</v>
      </c>
      <c r="K32" s="2" t="s">
        <v>2176</v>
      </c>
      <c r="L32" s="1" t="s">
        <v>2147</v>
      </c>
      <c r="M32" s="1" t="s">
        <v>2141</v>
      </c>
      <c r="N32" s="1" t="s">
        <v>2154</v>
      </c>
      <c r="O32" s="1" t="s">
        <v>2177</v>
      </c>
      <c r="P32" s="1" t="s">
        <v>546</v>
      </c>
      <c r="Q32" s="1" t="s">
        <v>454</v>
      </c>
      <c r="R32" s="26" t="s">
        <v>94</v>
      </c>
    </row>
    <row r="33" spans="1:18" ht="44" thickBot="1" x14ac:dyDescent="0.4">
      <c r="A33" s="3" t="s">
        <v>2178</v>
      </c>
      <c r="B33" s="1" t="s">
        <v>2039</v>
      </c>
      <c r="C33" s="1" t="s">
        <v>2058</v>
      </c>
      <c r="D33" s="1" t="s">
        <v>2179</v>
      </c>
      <c r="E33" s="1" t="s">
        <v>1652</v>
      </c>
      <c r="F33" s="1" t="s">
        <v>15</v>
      </c>
      <c r="G33" s="1" t="s">
        <v>928</v>
      </c>
      <c r="H33" s="1" t="s">
        <v>928</v>
      </c>
      <c r="I33" s="1" t="s">
        <v>928</v>
      </c>
      <c r="J33" s="1" t="s">
        <v>928</v>
      </c>
      <c r="K33" s="2" t="s">
        <v>2180</v>
      </c>
      <c r="L33" s="1" t="s">
        <v>2181</v>
      </c>
      <c r="M33" s="1" t="s">
        <v>2141</v>
      </c>
      <c r="N33" s="1" t="s">
        <v>2154</v>
      </c>
      <c r="O33" s="1" t="s">
        <v>2131</v>
      </c>
      <c r="P33" s="1" t="s">
        <v>546</v>
      </c>
      <c r="Q33" s="1" t="s">
        <v>454</v>
      </c>
      <c r="R33" s="26" t="s">
        <v>94</v>
      </c>
    </row>
    <row r="34" spans="1:18" ht="44" thickBot="1" x14ac:dyDescent="0.4">
      <c r="A34" s="3" t="s">
        <v>2182</v>
      </c>
      <c r="B34" s="1" t="s">
        <v>2039</v>
      </c>
      <c r="C34" s="1" t="s">
        <v>2058</v>
      </c>
      <c r="D34" s="1" t="s">
        <v>2183</v>
      </c>
      <c r="E34" s="1" t="s">
        <v>762</v>
      </c>
      <c r="F34" s="1" t="s">
        <v>15</v>
      </c>
      <c r="G34" s="1" t="s">
        <v>928</v>
      </c>
      <c r="H34" s="1" t="s">
        <v>928</v>
      </c>
      <c r="I34" s="1" t="s">
        <v>928</v>
      </c>
      <c r="J34" s="1" t="s">
        <v>928</v>
      </c>
      <c r="K34" s="2" t="s">
        <v>2184</v>
      </c>
      <c r="L34" s="1" t="s">
        <v>928</v>
      </c>
      <c r="M34" s="1" t="s">
        <v>2148</v>
      </c>
      <c r="N34" s="1" t="s">
        <v>2154</v>
      </c>
      <c r="O34" s="1" t="s">
        <v>2185</v>
      </c>
      <c r="P34" s="1" t="s">
        <v>546</v>
      </c>
      <c r="Q34" s="1" t="s">
        <v>1319</v>
      </c>
      <c r="R34" s="26" t="s">
        <v>94</v>
      </c>
    </row>
    <row r="35" spans="1:18" ht="44" thickBot="1" x14ac:dyDescent="0.4">
      <c r="A35" s="3" t="s">
        <v>2186</v>
      </c>
      <c r="B35" s="1" t="s">
        <v>2039</v>
      </c>
      <c r="C35" s="1" t="s">
        <v>25</v>
      </c>
      <c r="D35" s="1" t="s">
        <v>403</v>
      </c>
      <c r="E35" s="1" t="s">
        <v>770</v>
      </c>
      <c r="F35" s="1" t="s">
        <v>15</v>
      </c>
      <c r="G35" s="1" t="s">
        <v>405</v>
      </c>
      <c r="H35" s="1" t="s">
        <v>928</v>
      </c>
      <c r="I35" s="1" t="s">
        <v>928</v>
      </c>
      <c r="J35" s="1" t="s">
        <v>928</v>
      </c>
      <c r="K35" s="2" t="s">
        <v>1519</v>
      </c>
      <c r="L35" s="1" t="s">
        <v>2187</v>
      </c>
      <c r="M35" s="1" t="s">
        <v>2141</v>
      </c>
      <c r="N35" s="1" t="s">
        <v>2130</v>
      </c>
      <c r="O35" s="1" t="s">
        <v>2131</v>
      </c>
      <c r="P35" s="1" t="s">
        <v>546</v>
      </c>
      <c r="Q35" s="1" t="s">
        <v>454</v>
      </c>
      <c r="R35" s="26" t="s">
        <v>94</v>
      </c>
    </row>
    <row r="36" spans="1:18" ht="44" thickBot="1" x14ac:dyDescent="0.4">
      <c r="A36" s="3" t="s">
        <v>412</v>
      </c>
      <c r="B36" s="1" t="s">
        <v>2039</v>
      </c>
      <c r="C36" s="1" t="s">
        <v>82</v>
      </c>
      <c r="D36" s="1" t="s">
        <v>1086</v>
      </c>
      <c r="E36" s="1" t="s">
        <v>219</v>
      </c>
      <c r="F36" s="1" t="s">
        <v>15</v>
      </c>
      <c r="G36" s="1" t="s">
        <v>928</v>
      </c>
      <c r="H36" s="1" t="s">
        <v>928</v>
      </c>
      <c r="I36" s="1" t="s">
        <v>928</v>
      </c>
      <c r="J36" s="1" t="s">
        <v>928</v>
      </c>
      <c r="K36" s="2" t="s">
        <v>1498</v>
      </c>
      <c r="L36" s="1" t="s">
        <v>2188</v>
      </c>
      <c r="M36" s="1" t="s">
        <v>2148</v>
      </c>
      <c r="N36" s="1" t="s">
        <v>2173</v>
      </c>
      <c r="O36" s="1" t="s">
        <v>2189</v>
      </c>
      <c r="P36" s="1" t="s">
        <v>2062</v>
      </c>
      <c r="Q36" s="1" t="s">
        <v>454</v>
      </c>
      <c r="R36" s="26" t="s">
        <v>94</v>
      </c>
    </row>
    <row r="37" spans="1:18" ht="44" thickBot="1" x14ac:dyDescent="0.4">
      <c r="A37" s="3" t="s">
        <v>2190</v>
      </c>
      <c r="B37" s="1" t="s">
        <v>2039</v>
      </c>
      <c r="C37" s="1" t="s">
        <v>2058</v>
      </c>
      <c r="D37" s="1" t="s">
        <v>2191</v>
      </c>
      <c r="E37" s="1" t="s">
        <v>219</v>
      </c>
      <c r="F37" s="1" t="s">
        <v>15</v>
      </c>
      <c r="G37" s="1" t="s">
        <v>928</v>
      </c>
      <c r="H37" s="1" t="s">
        <v>928</v>
      </c>
      <c r="I37" s="1" t="s">
        <v>928</v>
      </c>
      <c r="J37" s="1" t="s">
        <v>928</v>
      </c>
      <c r="K37" s="2" t="s">
        <v>2192</v>
      </c>
      <c r="L37" s="1" t="s">
        <v>2193</v>
      </c>
      <c r="M37" s="1" t="s">
        <v>2194</v>
      </c>
      <c r="N37" s="1" t="s">
        <v>2154</v>
      </c>
      <c r="O37" s="1" t="s">
        <v>2177</v>
      </c>
      <c r="P37" s="1" t="s">
        <v>546</v>
      </c>
      <c r="Q37" s="1" t="s">
        <v>454</v>
      </c>
      <c r="R37" s="26" t="s">
        <v>94</v>
      </c>
    </row>
    <row r="38" spans="1:18" ht="51.5" thickBot="1" x14ac:dyDescent="0.4">
      <c r="A38" s="3" t="s">
        <v>2195</v>
      </c>
      <c r="B38" s="1" t="s">
        <v>2039</v>
      </c>
      <c r="C38" s="1" t="s">
        <v>2058</v>
      </c>
      <c r="D38" s="1" t="s">
        <v>2196</v>
      </c>
      <c r="E38" s="1" t="s">
        <v>1652</v>
      </c>
      <c r="F38" s="1" t="s">
        <v>15</v>
      </c>
      <c r="G38" s="1" t="s">
        <v>928</v>
      </c>
      <c r="H38" s="1" t="s">
        <v>928</v>
      </c>
      <c r="I38" s="1" t="s">
        <v>928</v>
      </c>
      <c r="J38" s="1" t="s">
        <v>928</v>
      </c>
      <c r="K38" s="2" t="s">
        <v>2197</v>
      </c>
      <c r="L38" s="1" t="s">
        <v>928</v>
      </c>
      <c r="M38" s="1" t="s">
        <v>2141</v>
      </c>
      <c r="N38" s="1" t="s">
        <v>2154</v>
      </c>
      <c r="O38" s="1" t="s">
        <v>726</v>
      </c>
      <c r="P38" s="1" t="s">
        <v>546</v>
      </c>
      <c r="Q38" s="1" t="s">
        <v>454</v>
      </c>
      <c r="R38" s="26" t="s">
        <v>94</v>
      </c>
    </row>
    <row r="39" spans="1:18" ht="44" thickBot="1" x14ac:dyDescent="0.4">
      <c r="A39" s="3" t="s">
        <v>2198</v>
      </c>
      <c r="B39" s="1" t="s">
        <v>2039</v>
      </c>
      <c r="C39" s="1" t="s">
        <v>25</v>
      </c>
      <c r="D39" s="1" t="s">
        <v>2199</v>
      </c>
      <c r="E39" s="1" t="s">
        <v>1005</v>
      </c>
      <c r="F39" s="1" t="s">
        <v>15</v>
      </c>
      <c r="G39" s="1" t="s">
        <v>928</v>
      </c>
      <c r="H39" s="1" t="s">
        <v>928</v>
      </c>
      <c r="I39" s="2" t="s">
        <v>2200</v>
      </c>
      <c r="J39" s="1" t="s">
        <v>928</v>
      </c>
      <c r="K39" s="2" t="s">
        <v>2201</v>
      </c>
      <c r="L39" s="1" t="s">
        <v>2202</v>
      </c>
      <c r="M39" s="1" t="s">
        <v>2044</v>
      </c>
      <c r="N39" s="1" t="s">
        <v>2130</v>
      </c>
      <c r="O39" s="1" t="s">
        <v>2203</v>
      </c>
      <c r="P39" s="1" t="s">
        <v>540</v>
      </c>
      <c r="Q39" s="1" t="s">
        <v>1319</v>
      </c>
      <c r="R39" s="24" t="s">
        <v>2200</v>
      </c>
    </row>
    <row r="40" spans="1:18" ht="44" thickBot="1" x14ac:dyDescent="0.4">
      <c r="A40" s="3" t="s">
        <v>393</v>
      </c>
      <c r="B40" s="1" t="s">
        <v>2039</v>
      </c>
      <c r="C40" s="1" t="s">
        <v>12</v>
      </c>
      <c r="D40" s="1" t="s">
        <v>2204</v>
      </c>
      <c r="E40" s="1" t="s">
        <v>219</v>
      </c>
      <c r="F40" s="1" t="s">
        <v>15</v>
      </c>
      <c r="G40" s="1" t="s">
        <v>928</v>
      </c>
      <c r="H40" s="1" t="s">
        <v>928</v>
      </c>
      <c r="I40" s="1" t="s">
        <v>928</v>
      </c>
      <c r="J40" s="1" t="s">
        <v>928</v>
      </c>
      <c r="K40" s="2" t="s">
        <v>1548</v>
      </c>
      <c r="L40" s="1" t="s">
        <v>2043</v>
      </c>
      <c r="M40" s="1" t="s">
        <v>2044</v>
      </c>
      <c r="N40" s="1" t="s">
        <v>2205</v>
      </c>
      <c r="O40" s="1" t="s">
        <v>2206</v>
      </c>
      <c r="P40" s="1" t="s">
        <v>540</v>
      </c>
      <c r="Q40" s="1" t="s">
        <v>1319</v>
      </c>
      <c r="R40" s="27" t="s">
        <v>950</v>
      </c>
    </row>
    <row r="41" spans="1:18" ht="58" x14ac:dyDescent="0.35">
      <c r="A41" s="7" t="s">
        <v>2207</v>
      </c>
      <c r="B41" s="8" t="s">
        <v>2039</v>
      </c>
      <c r="C41" s="8" t="s">
        <v>12</v>
      </c>
      <c r="D41" s="8" t="s">
        <v>2208</v>
      </c>
      <c r="E41" s="8" t="s">
        <v>2209</v>
      </c>
      <c r="F41" s="8" t="s">
        <v>15</v>
      </c>
      <c r="G41" s="8" t="s">
        <v>928</v>
      </c>
      <c r="H41" s="8" t="s">
        <v>928</v>
      </c>
      <c r="I41" s="8" t="s">
        <v>928</v>
      </c>
      <c r="J41" s="8" t="s">
        <v>928</v>
      </c>
      <c r="K41" s="9" t="s">
        <v>2210</v>
      </c>
      <c r="L41" s="8" t="s">
        <v>2211</v>
      </c>
      <c r="M41" s="8" t="s">
        <v>2044</v>
      </c>
      <c r="N41" s="8" t="s">
        <v>2212</v>
      </c>
      <c r="O41" s="8" t="s">
        <v>2185</v>
      </c>
      <c r="P41" s="8" t="s">
        <v>546</v>
      </c>
      <c r="Q41" s="8" t="s">
        <v>1319</v>
      </c>
      <c r="R41" s="28" t="s">
        <v>950</v>
      </c>
    </row>
    <row r="45" spans="1:18" x14ac:dyDescent="0.35">
      <c r="A45" s="23" t="s">
        <v>1229</v>
      </c>
      <c r="B45" s="23">
        <f>COUNTIF($Q$2:$Q$41,"Yes")</f>
        <v>33</v>
      </c>
    </row>
    <row r="46" spans="1:18" x14ac:dyDescent="0.35">
      <c r="A46" s="23" t="s">
        <v>459</v>
      </c>
      <c r="B46" s="23">
        <f>COUNTIF($G$2:$G$41,"N/A")</f>
        <v>15</v>
      </c>
    </row>
    <row r="47" spans="1:18" x14ac:dyDescent="0.35">
      <c r="A47" s="23" t="s">
        <v>458</v>
      </c>
      <c r="B47" s="23">
        <f>COUNTIF($H$2:$H$41,"N/A")</f>
        <v>37</v>
      </c>
    </row>
    <row r="48" spans="1:18" x14ac:dyDescent="0.35">
      <c r="A48" s="23" t="s">
        <v>457</v>
      </c>
      <c r="B48" s="23">
        <f>COUNTIF($I$2:$I$41,"N/A")</f>
        <v>26</v>
      </c>
    </row>
  </sheetData>
  <hyperlinks>
    <hyperlink ref="K2" r:id="rId1" xr:uid="{FA3798E2-FC63-493B-8EB2-1929689BC605}"/>
    <hyperlink ref="K3" r:id="rId2" xr:uid="{DE5D1D89-A1E1-4762-93C4-C1563A694A1C}"/>
    <hyperlink ref="I4" r:id="rId3" xr:uid="{D501C595-DD08-4D51-811E-77C858F875C1}"/>
    <hyperlink ref="K4" r:id="rId4" xr:uid="{53E1230D-EF44-4247-9500-0FFB6423D952}"/>
    <hyperlink ref="R4" r:id="rId5" xr:uid="{5907A1A5-9986-46A6-938A-8F7A3ADCEFE8}"/>
    <hyperlink ref="I5" r:id="rId6" xr:uid="{4932674A-42A0-491C-B93A-A6E9F0141601}"/>
    <hyperlink ref="K5" r:id="rId7" xr:uid="{2F8D9C51-CA44-431D-BD53-7188A6013B3A}"/>
    <hyperlink ref="R5" r:id="rId8" xr:uid="{0B55E66B-00D0-4CB7-BF55-AB72691C74FC}"/>
    <hyperlink ref="K6" r:id="rId9" xr:uid="{B501976B-65DC-407C-8034-D004D376D0C8}"/>
    <hyperlink ref="K7" r:id="rId10" xr:uid="{5378389B-16C7-48E0-8763-242CC8CA9186}"/>
    <hyperlink ref="I8" r:id="rId11" xr:uid="{4777F1DE-86F3-4FDD-A02D-CF951082FD55}"/>
    <hyperlink ref="K8" r:id="rId12" xr:uid="{EDED33D0-149E-4F2C-ACA0-CFEE2168BD30}"/>
    <hyperlink ref="R8" r:id="rId13" xr:uid="{207C244E-8469-4EF5-85BF-9DE85C5CBBC3}"/>
    <hyperlink ref="K9" r:id="rId14" xr:uid="{983235CF-EA6D-403B-9E26-846A5FF68B70}"/>
    <hyperlink ref="K10" r:id="rId15" xr:uid="{5911BF59-0B7F-4CA5-A801-19BF89EA157D}"/>
    <hyperlink ref="R10" r:id="rId16" xr:uid="{8BC7E6FA-8B02-4E0F-A505-69462C0A06D9}"/>
    <hyperlink ref="K11" r:id="rId17" xr:uid="{69BC1E20-3510-4FC8-99E6-9CCA6BCEA816}"/>
    <hyperlink ref="K12" r:id="rId18" xr:uid="{EAAE9300-C6B2-46F3-A4D0-098055068735}"/>
    <hyperlink ref="I13" r:id="rId19" xr:uid="{4873F9E9-EBA9-4A2F-9BA3-2C5BA1E70D60}"/>
    <hyperlink ref="K13" r:id="rId20" xr:uid="{185456BF-07A9-4239-A5E6-DE45BACD5247}"/>
    <hyperlink ref="R13" r:id="rId21" xr:uid="{7A5971D5-4B00-431C-AFDE-16C908A823BB}"/>
    <hyperlink ref="K14" r:id="rId22" xr:uid="{F23B2E39-83E3-4A84-80E4-3BADD426798A}"/>
    <hyperlink ref="R14" r:id="rId23" xr:uid="{9AEAC025-C8A5-40C1-A182-1B277E6E474B}"/>
    <hyperlink ref="I15" r:id="rId24" xr:uid="{179FD766-099D-4346-BB93-C3AB18E9C9ED}"/>
    <hyperlink ref="K15" r:id="rId25" xr:uid="{594B7964-CD4D-49B1-A823-AD2C3CE16500}"/>
    <hyperlink ref="R15" r:id="rId26" xr:uid="{2DEDA47B-DEB2-4EEE-B770-C5088BE37742}"/>
    <hyperlink ref="I16" r:id="rId27" xr:uid="{759655D1-424C-4CC4-9094-761091063B78}"/>
    <hyperlink ref="K16" r:id="rId28" xr:uid="{4EAF0416-2539-4CEC-BC62-4F8BC797348F}"/>
    <hyperlink ref="R16" r:id="rId29" xr:uid="{33D26522-7617-44C2-892A-B34146ACC407}"/>
    <hyperlink ref="I17" r:id="rId30" xr:uid="{A35DBF5C-702B-43E5-A7AF-FD99589DED23}"/>
    <hyperlink ref="K17" r:id="rId31" xr:uid="{28AE184F-45DE-4324-B182-4DB1B465C742}"/>
    <hyperlink ref="R17" r:id="rId32" xr:uid="{C22F6903-4CC5-4BD5-8BA6-CAF42379877A}"/>
    <hyperlink ref="K18" r:id="rId33" xr:uid="{2E7DF764-72B9-4A1E-AF39-FF8FA553B566}"/>
    <hyperlink ref="R18" r:id="rId34" xr:uid="{BBF84B8B-4806-4D18-8859-8A90022170AB}"/>
    <hyperlink ref="I19" r:id="rId35" xr:uid="{E70DB75F-0AE9-4A60-99A7-896E8F02C080}"/>
    <hyperlink ref="K19" r:id="rId36" xr:uid="{CCB9CAEB-FEAD-4170-8D1E-925FFAE700E6}"/>
    <hyperlink ref="R19" r:id="rId37" xr:uid="{DE7C8514-8944-4D6A-9CE1-741575E76BAA}"/>
    <hyperlink ref="K20" r:id="rId38" xr:uid="{9B5CA2D6-3D61-4B68-9D7D-E0B10023B824}"/>
    <hyperlink ref="R20" r:id="rId39" xr:uid="{CEBE952A-21AC-44A9-BD78-B476E5D2125C}"/>
    <hyperlink ref="J21" r:id="rId40" xr:uid="{80E2AC3D-A2EE-4AF8-BD41-F66FDCA48F89}"/>
    <hyperlink ref="K21" r:id="rId41" xr:uid="{A7724ECE-1FE5-4113-9DB2-6155C267E23F}"/>
    <hyperlink ref="R21" r:id="rId42" xr:uid="{976368D9-67CF-41CE-AF93-E12CB9863A2D}"/>
    <hyperlink ref="I22" r:id="rId43" xr:uid="{65D893EB-AB27-4EB7-B5FB-5193509F88FF}"/>
    <hyperlink ref="K22" r:id="rId44" xr:uid="{07208789-A58C-4DF5-9CF5-E2EA7BD28146}"/>
    <hyperlink ref="R22" r:id="rId45" xr:uid="{1CFA7D6C-C79D-4E9A-91B7-2A1411C088EA}"/>
    <hyperlink ref="I23" r:id="rId46" xr:uid="{3949ADB8-6E3E-4E6F-AC6A-31D1EB1DF94B}"/>
    <hyperlink ref="K23" r:id="rId47" xr:uid="{3EFA406B-0EE8-4012-8831-9C8C3F02CF4F}"/>
    <hyperlink ref="R23" r:id="rId48" xr:uid="{C82CF68F-69F1-42F5-9128-2AA8BEF70E3D}"/>
    <hyperlink ref="I24" r:id="rId49" xr:uid="{0DAAA112-7BE0-4865-AB11-4274C22359CE}"/>
    <hyperlink ref="K24" r:id="rId50" xr:uid="{02D37912-BE11-47B9-8B83-4D26915F5675}"/>
    <hyperlink ref="R24" r:id="rId51" xr:uid="{89218123-C5DE-48F7-9FC4-AB7349E0DA48}"/>
    <hyperlink ref="I25" r:id="rId52" xr:uid="{1F90358E-DA41-420F-90C6-8F4E8969AC62}"/>
    <hyperlink ref="K25" r:id="rId53" xr:uid="{267D0212-D0E6-41AD-97E8-D819096BCC57}"/>
    <hyperlink ref="R25" r:id="rId54" xr:uid="{D555C01C-303D-43F9-AF24-72DEC6372F6A}"/>
    <hyperlink ref="I26" r:id="rId55" xr:uid="{ED57D15A-825B-4AB8-8B07-911BDA562656}"/>
    <hyperlink ref="K26" r:id="rId56" xr:uid="{40DFE30B-2B92-4324-AC67-16350E75AFB6}"/>
    <hyperlink ref="R26" r:id="rId57" xr:uid="{531C8FFE-2804-4267-B677-1DE0D3834F30}"/>
    <hyperlink ref="K27" r:id="rId58" xr:uid="{EF162016-4FE1-4D66-B584-A9BD644057B3}"/>
    <hyperlink ref="K28" r:id="rId59" xr:uid="{0F0AFBB6-594B-4EBF-9F05-4F12106B8ABD}"/>
    <hyperlink ref="K29" r:id="rId60" xr:uid="{3C5C1FB9-227E-427D-8E09-FBC1BB4362EC}"/>
    <hyperlink ref="K30" r:id="rId61" xr:uid="{E1F157CD-385A-4442-B96B-0D1B1FC99BC9}"/>
    <hyperlink ref="K31" r:id="rId62" xr:uid="{86AA2ECB-4DB5-4A6B-A487-98FD069BC371}"/>
    <hyperlink ref="K32" r:id="rId63" xr:uid="{C5191EFF-FC0A-457E-B4BC-D175E3F28837}"/>
    <hyperlink ref="K33" r:id="rId64" xr:uid="{7F8E6123-4F8B-43CD-B438-A3809C776148}"/>
    <hyperlink ref="K34" r:id="rId65" xr:uid="{B4018E90-5AAD-4ACC-8674-D1F93E343A80}"/>
    <hyperlink ref="K35" r:id="rId66" xr:uid="{39F2B22A-0021-4FF5-8C6A-2B4B9AC69E01}"/>
    <hyperlink ref="K36" r:id="rId67" xr:uid="{605A4C14-83D4-417E-8C5E-2215FD5813F9}"/>
    <hyperlink ref="K37" r:id="rId68" xr:uid="{65D51FE4-48F0-4E8F-9159-036D1A908021}"/>
    <hyperlink ref="K38" r:id="rId69" xr:uid="{F98AF5A2-C777-4563-9FAB-AC3CB55CC1EB}"/>
    <hyperlink ref="I39" r:id="rId70" xr:uid="{4D13166E-F14C-4C81-9979-D3AAC65B38E7}"/>
    <hyperlink ref="K39" r:id="rId71" xr:uid="{1B4FE78D-C082-4784-BBAC-B216107EB44B}"/>
    <hyperlink ref="R39" r:id="rId72" xr:uid="{61CE7DB4-61B8-4E8E-A702-7C6F6B901790}"/>
    <hyperlink ref="K40" r:id="rId73" xr:uid="{ECB95236-CE31-4883-BB29-6B4765C8B641}"/>
    <hyperlink ref="K41" r:id="rId74" xr:uid="{2EB7526B-35D5-467D-BD6A-7AEAD03C383A}"/>
  </hyperlinks>
  <pageMargins left="0.7" right="0.7" top="0.75" bottom="0.75" header="0.3" footer="0.3"/>
  <tableParts count="1">
    <tablePart r:id="rId7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D3C9-1BF8-4EAB-BD75-DD7C42C67AAB}">
  <dimension ref="A1:Q62"/>
  <sheetViews>
    <sheetView workbookViewId="0">
      <selection activeCell="E61" sqref="E61"/>
    </sheetView>
  </sheetViews>
  <sheetFormatPr defaultRowHeight="14.5" x14ac:dyDescent="0.35"/>
  <cols>
    <col min="1" max="1" width="24.6328125" customWidth="1"/>
    <col min="3" max="3" width="16.1796875" customWidth="1"/>
    <col min="4" max="4" width="32.453125" customWidth="1"/>
    <col min="5" max="5" width="16.7265625" customWidth="1"/>
    <col min="6" max="6" width="13.90625" customWidth="1"/>
    <col min="7" max="7" width="16.6328125" customWidth="1"/>
    <col min="8" max="8" width="25.1796875" customWidth="1"/>
    <col min="9" max="9" width="30.26953125" customWidth="1"/>
    <col min="10" max="10" width="23.453125" customWidth="1"/>
    <col min="11" max="11" width="31.453125" customWidth="1"/>
    <col min="12" max="12" width="26.54296875" customWidth="1"/>
    <col min="13" max="13" width="15.7265625" customWidth="1"/>
    <col min="14" max="14" width="17.81640625" customWidth="1"/>
    <col min="15" max="15" width="24.08984375" customWidth="1"/>
    <col min="16" max="16" width="18.1796875" customWidth="1"/>
    <col min="17" max="17" width="24.1796875" customWidth="1"/>
    <col min="18" max="18" width="8.7265625" customWidth="1"/>
  </cols>
  <sheetData>
    <row r="1" spans="1:17" ht="15" thickBot="1" x14ac:dyDescent="0.4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283</v>
      </c>
      <c r="I1" s="39" t="s">
        <v>485</v>
      </c>
      <c r="J1" s="39" t="s">
        <v>486</v>
      </c>
      <c r="K1" s="39" t="s">
        <v>7</v>
      </c>
      <c r="L1" s="39" t="s">
        <v>487</v>
      </c>
      <c r="M1" s="39" t="s">
        <v>2213</v>
      </c>
      <c r="N1" s="39" t="s">
        <v>488</v>
      </c>
      <c r="O1" s="39" t="s">
        <v>489</v>
      </c>
      <c r="P1" s="40" t="s">
        <v>8</v>
      </c>
      <c r="Q1" s="39" t="s">
        <v>9</v>
      </c>
    </row>
    <row r="2" spans="1:17" ht="39" thickBot="1" x14ac:dyDescent="0.4">
      <c r="A2" s="54" t="s">
        <v>2214</v>
      </c>
      <c r="B2" s="41" t="s">
        <v>2215</v>
      </c>
      <c r="C2" s="41" t="s">
        <v>12</v>
      </c>
      <c r="D2" s="41" t="s">
        <v>2216</v>
      </c>
      <c r="E2" s="41" t="s">
        <v>2217</v>
      </c>
      <c r="F2" s="41" t="s">
        <v>15</v>
      </c>
      <c r="G2" s="41" t="s">
        <v>2218</v>
      </c>
      <c r="H2" s="41" t="s">
        <v>928</v>
      </c>
      <c r="I2" s="41" t="s">
        <v>2219</v>
      </c>
      <c r="J2" s="41" t="s">
        <v>2220</v>
      </c>
      <c r="K2" s="41" t="s">
        <v>2221</v>
      </c>
      <c r="L2" s="41" t="s">
        <v>2222</v>
      </c>
      <c r="M2" s="41" t="s">
        <v>2223</v>
      </c>
      <c r="N2" s="41" t="s">
        <v>2224</v>
      </c>
      <c r="O2" s="41" t="s">
        <v>2225</v>
      </c>
      <c r="P2" s="41" t="s">
        <v>454</v>
      </c>
      <c r="Q2" s="41" t="s">
        <v>2226</v>
      </c>
    </row>
    <row r="3" spans="1:17" ht="51.5" thickBot="1" x14ac:dyDescent="0.4">
      <c r="A3" s="54" t="s">
        <v>2227</v>
      </c>
      <c r="B3" s="41" t="s">
        <v>2215</v>
      </c>
      <c r="C3" s="41" t="s">
        <v>12</v>
      </c>
      <c r="D3" s="41" t="s">
        <v>2228</v>
      </c>
      <c r="E3" s="41" t="s">
        <v>298</v>
      </c>
      <c r="F3" s="41" t="s">
        <v>15</v>
      </c>
      <c r="G3" s="41" t="s">
        <v>2229</v>
      </c>
      <c r="H3" s="41" t="s">
        <v>2230</v>
      </c>
      <c r="I3" s="41" t="s">
        <v>2231</v>
      </c>
      <c r="J3" s="41" t="s">
        <v>928</v>
      </c>
      <c r="K3" s="41" t="s">
        <v>2232</v>
      </c>
      <c r="L3" s="41" t="s">
        <v>2233</v>
      </c>
      <c r="M3" s="41" t="s">
        <v>2223</v>
      </c>
      <c r="N3" s="41" t="s">
        <v>2234</v>
      </c>
      <c r="O3" s="41" t="s">
        <v>2225</v>
      </c>
      <c r="P3" s="41" t="s">
        <v>454</v>
      </c>
      <c r="Q3" s="55" t="s">
        <v>2235</v>
      </c>
    </row>
    <row r="4" spans="1:17" ht="51.5" thickBot="1" x14ac:dyDescent="0.4">
      <c r="A4" s="54" t="s">
        <v>2236</v>
      </c>
      <c r="B4" s="41" t="s">
        <v>2215</v>
      </c>
      <c r="C4" s="41" t="s">
        <v>12</v>
      </c>
      <c r="D4" s="41" t="s">
        <v>2237</v>
      </c>
      <c r="E4" s="41" t="s">
        <v>2238</v>
      </c>
      <c r="F4" s="41" t="s">
        <v>15</v>
      </c>
      <c r="G4" s="41" t="s">
        <v>2239</v>
      </c>
      <c r="H4" s="41" t="s">
        <v>2230</v>
      </c>
      <c r="I4" s="41" t="s">
        <v>2240</v>
      </c>
      <c r="J4" s="41" t="s">
        <v>928</v>
      </c>
      <c r="K4" s="41" t="s">
        <v>2241</v>
      </c>
      <c r="L4" s="41" t="s">
        <v>2242</v>
      </c>
      <c r="M4" s="41" t="s">
        <v>2223</v>
      </c>
      <c r="N4" s="41" t="s">
        <v>671</v>
      </c>
      <c r="O4" s="41" t="s">
        <v>2225</v>
      </c>
      <c r="P4" s="41" t="s">
        <v>454</v>
      </c>
      <c r="Q4" s="55" t="s">
        <v>2243</v>
      </c>
    </row>
    <row r="5" spans="1:17" ht="39" thickBot="1" x14ac:dyDescent="0.4">
      <c r="A5" s="54" t="s">
        <v>2244</v>
      </c>
      <c r="B5" s="41" t="s">
        <v>2215</v>
      </c>
      <c r="C5" s="41" t="s">
        <v>12</v>
      </c>
      <c r="D5" s="41" t="s">
        <v>2245</v>
      </c>
      <c r="E5" s="41" t="s">
        <v>2246</v>
      </c>
      <c r="F5" s="41" t="s">
        <v>15</v>
      </c>
      <c r="G5" s="41" t="s">
        <v>2247</v>
      </c>
      <c r="H5" s="41" t="s">
        <v>2230</v>
      </c>
      <c r="I5" s="41" t="s">
        <v>2231</v>
      </c>
      <c r="J5" s="41" t="s">
        <v>928</v>
      </c>
      <c r="K5" s="41" t="s">
        <v>2248</v>
      </c>
      <c r="L5" s="41" t="s">
        <v>2249</v>
      </c>
      <c r="M5" s="41" t="s">
        <v>2223</v>
      </c>
      <c r="N5" s="41" t="s">
        <v>2250</v>
      </c>
      <c r="O5" s="41" t="s">
        <v>540</v>
      </c>
      <c r="P5" s="41" t="s">
        <v>454</v>
      </c>
      <c r="Q5" s="41" t="s">
        <v>2251</v>
      </c>
    </row>
    <row r="6" spans="1:17" ht="51.5" thickBot="1" x14ac:dyDescent="0.4">
      <c r="A6" s="54" t="s">
        <v>2252</v>
      </c>
      <c r="B6" s="41" t="s">
        <v>2215</v>
      </c>
      <c r="C6" s="41" t="s">
        <v>12</v>
      </c>
      <c r="D6" s="41" t="s">
        <v>2253</v>
      </c>
      <c r="E6" s="41" t="s">
        <v>142</v>
      </c>
      <c r="F6" s="41" t="s">
        <v>15</v>
      </c>
      <c r="G6" s="41" t="s">
        <v>2254</v>
      </c>
      <c r="H6" s="41" t="s">
        <v>2230</v>
      </c>
      <c r="I6" s="41" t="s">
        <v>2255</v>
      </c>
      <c r="J6" s="41" t="s">
        <v>928</v>
      </c>
      <c r="K6" s="41" t="s">
        <v>2256</v>
      </c>
      <c r="L6" s="41" t="s">
        <v>2257</v>
      </c>
      <c r="M6" s="41" t="s">
        <v>2258</v>
      </c>
      <c r="N6" s="41" t="s">
        <v>2259</v>
      </c>
      <c r="O6" s="41" t="s">
        <v>540</v>
      </c>
      <c r="P6" s="41" t="s">
        <v>454</v>
      </c>
      <c r="Q6" s="55" t="s">
        <v>2260</v>
      </c>
    </row>
    <row r="7" spans="1:17" ht="51.5" thickBot="1" x14ac:dyDescent="0.4">
      <c r="A7" s="54" t="s">
        <v>2261</v>
      </c>
      <c r="B7" s="41" t="s">
        <v>2215</v>
      </c>
      <c r="C7" s="41" t="s">
        <v>12</v>
      </c>
      <c r="D7" s="41" t="s">
        <v>2262</v>
      </c>
      <c r="E7" s="41" t="s">
        <v>2263</v>
      </c>
      <c r="F7" s="41" t="s">
        <v>15</v>
      </c>
      <c r="G7" s="41" t="s">
        <v>2264</v>
      </c>
      <c r="H7" s="41" t="s">
        <v>2265</v>
      </c>
      <c r="I7" s="41" t="s">
        <v>2266</v>
      </c>
      <c r="J7" s="41" t="s">
        <v>2267</v>
      </c>
      <c r="K7" s="41" t="s">
        <v>2268</v>
      </c>
      <c r="L7" s="41" t="s">
        <v>2269</v>
      </c>
      <c r="M7" s="41" t="s">
        <v>2223</v>
      </c>
      <c r="N7" s="41" t="s">
        <v>2270</v>
      </c>
      <c r="O7" s="41" t="s">
        <v>2225</v>
      </c>
      <c r="P7" s="41" t="s">
        <v>454</v>
      </c>
      <c r="Q7" s="55" t="s">
        <v>2271</v>
      </c>
    </row>
    <row r="8" spans="1:17" ht="51.5" thickBot="1" x14ac:dyDescent="0.4">
      <c r="A8" s="54" t="s">
        <v>2272</v>
      </c>
      <c r="B8" s="41" t="s">
        <v>2215</v>
      </c>
      <c r="C8" s="41" t="s">
        <v>2273</v>
      </c>
      <c r="D8" s="41" t="s">
        <v>2274</v>
      </c>
      <c r="E8" s="41" t="s">
        <v>2275</v>
      </c>
      <c r="F8" s="41" t="s">
        <v>15</v>
      </c>
      <c r="G8" s="41" t="s">
        <v>2276</v>
      </c>
      <c r="H8" s="41" t="s">
        <v>928</v>
      </c>
      <c r="I8" s="41" t="s">
        <v>2277</v>
      </c>
      <c r="J8" s="41" t="s">
        <v>2278</v>
      </c>
      <c r="K8" s="41" t="s">
        <v>2279</v>
      </c>
      <c r="L8" s="41" t="s">
        <v>2280</v>
      </c>
      <c r="M8" s="41" t="s">
        <v>2223</v>
      </c>
      <c r="N8" s="41" t="s">
        <v>972</v>
      </c>
      <c r="O8" s="41" t="s">
        <v>2225</v>
      </c>
      <c r="P8" s="41" t="s">
        <v>454</v>
      </c>
      <c r="Q8" s="41" t="s">
        <v>2281</v>
      </c>
    </row>
    <row r="9" spans="1:17" ht="39" thickBot="1" x14ac:dyDescent="0.4">
      <c r="A9" s="54" t="s">
        <v>2282</v>
      </c>
      <c r="B9" s="41" t="s">
        <v>2215</v>
      </c>
      <c r="C9" s="41" t="s">
        <v>25</v>
      </c>
      <c r="D9" s="41" t="s">
        <v>2283</v>
      </c>
      <c r="E9" s="41" t="s">
        <v>2284</v>
      </c>
      <c r="F9" s="41" t="s">
        <v>15</v>
      </c>
      <c r="G9" s="41" t="s">
        <v>2285</v>
      </c>
      <c r="H9" s="41" t="s">
        <v>928</v>
      </c>
      <c r="I9" s="41" t="s">
        <v>928</v>
      </c>
      <c r="J9" s="41" t="s">
        <v>928</v>
      </c>
      <c r="K9" s="41" t="s">
        <v>2286</v>
      </c>
      <c r="L9" s="41" t="s">
        <v>2287</v>
      </c>
      <c r="M9" s="41" t="s">
        <v>2223</v>
      </c>
      <c r="N9" s="41" t="s">
        <v>671</v>
      </c>
      <c r="O9" s="41" t="s">
        <v>540</v>
      </c>
      <c r="P9" s="41" t="s">
        <v>454</v>
      </c>
      <c r="Q9" s="41" t="s">
        <v>2288</v>
      </c>
    </row>
    <row r="10" spans="1:17" ht="39" thickBot="1" x14ac:dyDescent="0.4">
      <c r="A10" s="54" t="s">
        <v>2289</v>
      </c>
      <c r="B10" s="41" t="s">
        <v>2215</v>
      </c>
      <c r="C10" s="41" t="s">
        <v>12</v>
      </c>
      <c r="D10" s="41" t="s">
        <v>2290</v>
      </c>
      <c r="E10" s="41" t="s">
        <v>2291</v>
      </c>
      <c r="F10" s="41" t="s">
        <v>15</v>
      </c>
      <c r="G10" s="41" t="s">
        <v>928</v>
      </c>
      <c r="H10" s="41" t="s">
        <v>928</v>
      </c>
      <c r="I10" s="41" t="s">
        <v>2292</v>
      </c>
      <c r="J10" s="41" t="s">
        <v>928</v>
      </c>
      <c r="K10" s="41" t="s">
        <v>2293</v>
      </c>
      <c r="L10" s="41" t="s">
        <v>2294</v>
      </c>
      <c r="M10" s="41" t="s">
        <v>2258</v>
      </c>
      <c r="N10" s="41" t="s">
        <v>2295</v>
      </c>
      <c r="O10" s="41" t="s">
        <v>546</v>
      </c>
      <c r="P10" s="41" t="s">
        <v>454</v>
      </c>
      <c r="Q10" s="41" t="s">
        <v>2296</v>
      </c>
    </row>
    <row r="11" spans="1:17" ht="39" thickBot="1" x14ac:dyDescent="0.4">
      <c r="A11" s="54" t="s">
        <v>2297</v>
      </c>
      <c r="B11" s="41" t="s">
        <v>2215</v>
      </c>
      <c r="C11" s="41" t="s">
        <v>25</v>
      </c>
      <c r="D11" s="41" t="s">
        <v>2298</v>
      </c>
      <c r="E11" s="41" t="s">
        <v>117</v>
      </c>
      <c r="F11" s="41" t="s">
        <v>15</v>
      </c>
      <c r="G11" s="41" t="s">
        <v>2299</v>
      </c>
      <c r="H11" s="41" t="s">
        <v>928</v>
      </c>
      <c r="I11" s="41" t="s">
        <v>928</v>
      </c>
      <c r="J11" s="41" t="s">
        <v>2300</v>
      </c>
      <c r="K11" s="41" t="s">
        <v>2301</v>
      </c>
      <c r="L11" s="41" t="s">
        <v>2302</v>
      </c>
      <c r="M11" s="41" t="s">
        <v>2258</v>
      </c>
      <c r="N11" s="41" t="s">
        <v>2303</v>
      </c>
      <c r="O11" s="41" t="s">
        <v>546</v>
      </c>
      <c r="P11" s="41" t="s">
        <v>454</v>
      </c>
      <c r="Q11" s="41" t="s">
        <v>2304</v>
      </c>
    </row>
    <row r="12" spans="1:17" ht="39" thickBot="1" x14ac:dyDescent="0.4">
      <c r="A12" s="54" t="s">
        <v>2305</v>
      </c>
      <c r="B12" s="41" t="s">
        <v>2215</v>
      </c>
      <c r="C12" s="41" t="s">
        <v>12</v>
      </c>
      <c r="D12" s="41" t="s">
        <v>2306</v>
      </c>
      <c r="E12" s="41" t="s">
        <v>2307</v>
      </c>
      <c r="F12" s="41" t="s">
        <v>15</v>
      </c>
      <c r="G12" s="41" t="s">
        <v>2308</v>
      </c>
      <c r="H12" s="41" t="s">
        <v>928</v>
      </c>
      <c r="I12" s="41" t="s">
        <v>928</v>
      </c>
      <c r="J12" s="41" t="s">
        <v>928</v>
      </c>
      <c r="K12" s="41" t="s">
        <v>2309</v>
      </c>
      <c r="L12" s="41" t="s">
        <v>2310</v>
      </c>
      <c r="M12" s="41" t="s">
        <v>2223</v>
      </c>
      <c r="N12" s="41" t="s">
        <v>2250</v>
      </c>
      <c r="O12" s="41" t="s">
        <v>540</v>
      </c>
      <c r="P12" s="41" t="s">
        <v>454</v>
      </c>
      <c r="Q12" s="41" t="s">
        <v>2311</v>
      </c>
    </row>
    <row r="13" spans="1:17" ht="39" thickBot="1" x14ac:dyDescent="0.4">
      <c r="A13" s="54" t="s">
        <v>2312</v>
      </c>
      <c r="B13" s="41" t="s">
        <v>2215</v>
      </c>
      <c r="C13" s="41" t="s">
        <v>12</v>
      </c>
      <c r="D13" s="41" t="s">
        <v>2313</v>
      </c>
      <c r="E13" s="41" t="s">
        <v>78</v>
      </c>
      <c r="F13" s="41" t="s">
        <v>15</v>
      </c>
      <c r="G13" s="41" t="s">
        <v>928</v>
      </c>
      <c r="H13" s="41" t="s">
        <v>928</v>
      </c>
      <c r="I13" s="41" t="s">
        <v>928</v>
      </c>
      <c r="J13" s="41" t="s">
        <v>928</v>
      </c>
      <c r="K13" s="41" t="s">
        <v>2314</v>
      </c>
      <c r="L13" s="41" t="s">
        <v>2315</v>
      </c>
      <c r="M13" s="41" t="s">
        <v>2258</v>
      </c>
      <c r="N13" s="41" t="s">
        <v>2177</v>
      </c>
      <c r="O13" s="41" t="s">
        <v>546</v>
      </c>
      <c r="P13" s="41" t="s">
        <v>455</v>
      </c>
      <c r="Q13" s="41" t="s">
        <v>2316</v>
      </c>
    </row>
    <row r="14" spans="1:17" ht="39" thickBot="1" x14ac:dyDescent="0.4">
      <c r="A14" s="54" t="s">
        <v>2317</v>
      </c>
      <c r="B14" s="41" t="s">
        <v>2215</v>
      </c>
      <c r="C14" s="41" t="s">
        <v>12</v>
      </c>
      <c r="D14" s="41" t="s">
        <v>2318</v>
      </c>
      <c r="E14" s="41" t="s">
        <v>2319</v>
      </c>
      <c r="F14" s="41" t="s">
        <v>15</v>
      </c>
      <c r="G14" s="41" t="s">
        <v>928</v>
      </c>
      <c r="H14" s="41" t="s">
        <v>928</v>
      </c>
      <c r="I14" s="41" t="s">
        <v>928</v>
      </c>
      <c r="J14" s="41" t="s">
        <v>928</v>
      </c>
      <c r="K14" s="41" t="s">
        <v>2320</v>
      </c>
      <c r="L14" s="41" t="s">
        <v>2321</v>
      </c>
      <c r="M14" s="41" t="s">
        <v>2223</v>
      </c>
      <c r="N14" s="41" t="s">
        <v>972</v>
      </c>
      <c r="O14" s="41" t="s">
        <v>540</v>
      </c>
      <c r="P14" s="41" t="s">
        <v>455</v>
      </c>
      <c r="Q14" s="41" t="s">
        <v>2322</v>
      </c>
    </row>
    <row r="15" spans="1:17" ht="39" thickBot="1" x14ac:dyDescent="0.4">
      <c r="A15" s="54" t="s">
        <v>2323</v>
      </c>
      <c r="B15" s="41" t="s">
        <v>2215</v>
      </c>
      <c r="C15" s="41" t="s">
        <v>12</v>
      </c>
      <c r="D15" s="41" t="s">
        <v>2324</v>
      </c>
      <c r="E15" s="41" t="s">
        <v>2325</v>
      </c>
      <c r="F15" s="41" t="s">
        <v>15</v>
      </c>
      <c r="G15" s="41" t="s">
        <v>2326</v>
      </c>
      <c r="H15" s="41" t="s">
        <v>928</v>
      </c>
      <c r="I15" s="41" t="s">
        <v>2327</v>
      </c>
      <c r="J15" s="41" t="s">
        <v>928</v>
      </c>
      <c r="K15" s="41" t="s">
        <v>2328</v>
      </c>
      <c r="L15" s="41" t="s">
        <v>2329</v>
      </c>
      <c r="M15" s="41" t="s">
        <v>2223</v>
      </c>
      <c r="N15" s="41" t="s">
        <v>972</v>
      </c>
      <c r="O15" s="41" t="s">
        <v>540</v>
      </c>
      <c r="P15" s="41" t="s">
        <v>454</v>
      </c>
      <c r="Q15" s="41" t="s">
        <v>2330</v>
      </c>
    </row>
    <row r="16" spans="1:17" ht="51.5" thickBot="1" x14ac:dyDescent="0.4">
      <c r="A16" s="54" t="s">
        <v>2331</v>
      </c>
      <c r="B16" s="41" t="s">
        <v>2215</v>
      </c>
      <c r="C16" s="41" t="s">
        <v>2273</v>
      </c>
      <c r="D16" s="41" t="s">
        <v>2332</v>
      </c>
      <c r="E16" s="41" t="s">
        <v>2238</v>
      </c>
      <c r="F16" s="41" t="s">
        <v>15</v>
      </c>
      <c r="G16" s="41" t="s">
        <v>2333</v>
      </c>
      <c r="H16" s="41" t="s">
        <v>928</v>
      </c>
      <c r="I16" s="41" t="s">
        <v>928</v>
      </c>
      <c r="J16" s="41" t="s">
        <v>928</v>
      </c>
      <c r="K16" s="41" t="s">
        <v>2334</v>
      </c>
      <c r="L16" s="41" t="s">
        <v>2321</v>
      </c>
      <c r="M16" s="41" t="s">
        <v>2258</v>
      </c>
      <c r="N16" s="41" t="s">
        <v>2335</v>
      </c>
      <c r="O16" s="41" t="s">
        <v>546</v>
      </c>
      <c r="P16" s="41" t="s">
        <v>454</v>
      </c>
      <c r="Q16" s="41" t="s">
        <v>2336</v>
      </c>
    </row>
    <row r="17" spans="1:17" ht="39" thickBot="1" x14ac:dyDescent="0.4">
      <c r="A17" s="54" t="s">
        <v>2337</v>
      </c>
      <c r="B17" s="41" t="s">
        <v>2215</v>
      </c>
      <c r="C17" s="41" t="s">
        <v>25</v>
      </c>
      <c r="D17" s="41" t="s">
        <v>2338</v>
      </c>
      <c r="E17" s="41" t="s">
        <v>2339</v>
      </c>
      <c r="F17" s="41" t="s">
        <v>15</v>
      </c>
      <c r="G17" s="41" t="s">
        <v>928</v>
      </c>
      <c r="H17" s="41" t="s">
        <v>928</v>
      </c>
      <c r="I17" s="41" t="s">
        <v>928</v>
      </c>
      <c r="J17" s="41" t="s">
        <v>928</v>
      </c>
      <c r="K17" s="41" t="s">
        <v>2340</v>
      </c>
      <c r="L17" s="41" t="s">
        <v>2341</v>
      </c>
      <c r="M17" s="41" t="s">
        <v>2258</v>
      </c>
      <c r="N17" s="41" t="s">
        <v>781</v>
      </c>
      <c r="O17" s="41" t="s">
        <v>546</v>
      </c>
      <c r="P17" s="41" t="s">
        <v>455</v>
      </c>
      <c r="Q17" s="41" t="s">
        <v>2342</v>
      </c>
    </row>
    <row r="18" spans="1:17" ht="39" thickBot="1" x14ac:dyDescent="0.4">
      <c r="A18" s="54" t="s">
        <v>2343</v>
      </c>
      <c r="B18" s="41" t="s">
        <v>2215</v>
      </c>
      <c r="C18" s="41" t="s">
        <v>25</v>
      </c>
      <c r="D18" s="41" t="s">
        <v>2344</v>
      </c>
      <c r="E18" s="41" t="s">
        <v>2319</v>
      </c>
      <c r="F18" s="41" t="s">
        <v>15</v>
      </c>
      <c r="G18" s="41" t="s">
        <v>928</v>
      </c>
      <c r="H18" s="41" t="s">
        <v>928</v>
      </c>
      <c r="I18" s="41" t="s">
        <v>928</v>
      </c>
      <c r="J18" s="41" t="s">
        <v>928</v>
      </c>
      <c r="K18" s="41" t="s">
        <v>2345</v>
      </c>
      <c r="L18" s="41" t="s">
        <v>2346</v>
      </c>
      <c r="M18" s="41" t="s">
        <v>2258</v>
      </c>
      <c r="N18" s="41" t="s">
        <v>1975</v>
      </c>
      <c r="O18" s="41" t="s">
        <v>546</v>
      </c>
      <c r="P18" s="41" t="s">
        <v>455</v>
      </c>
      <c r="Q18" s="41" t="s">
        <v>2322</v>
      </c>
    </row>
    <row r="19" spans="1:17" ht="39" thickBot="1" x14ac:dyDescent="0.4">
      <c r="A19" s="54" t="s">
        <v>2347</v>
      </c>
      <c r="B19" s="41" t="s">
        <v>2215</v>
      </c>
      <c r="C19" s="41" t="s">
        <v>12</v>
      </c>
      <c r="D19" s="41" t="s">
        <v>2348</v>
      </c>
      <c r="E19" s="41" t="s">
        <v>72</v>
      </c>
      <c r="F19" s="41" t="s">
        <v>15</v>
      </c>
      <c r="G19" s="41" t="s">
        <v>2349</v>
      </c>
      <c r="H19" s="41" t="s">
        <v>928</v>
      </c>
      <c r="I19" s="41" t="s">
        <v>928</v>
      </c>
      <c r="J19" s="41" t="s">
        <v>928</v>
      </c>
      <c r="K19" s="41" t="s">
        <v>2350</v>
      </c>
      <c r="L19" s="41" t="s">
        <v>2351</v>
      </c>
      <c r="M19" s="41" t="s">
        <v>2258</v>
      </c>
      <c r="N19" s="41" t="s">
        <v>2167</v>
      </c>
      <c r="O19" s="41" t="s">
        <v>546</v>
      </c>
      <c r="P19" s="41" t="s">
        <v>454</v>
      </c>
      <c r="Q19" s="41" t="s">
        <v>2352</v>
      </c>
    </row>
    <row r="20" spans="1:17" ht="39" thickBot="1" x14ac:dyDescent="0.4">
      <c r="A20" s="54" t="s">
        <v>2353</v>
      </c>
      <c r="B20" s="41" t="s">
        <v>2215</v>
      </c>
      <c r="C20" s="41" t="s">
        <v>12</v>
      </c>
      <c r="D20" s="41" t="s">
        <v>2354</v>
      </c>
      <c r="E20" s="41" t="s">
        <v>2355</v>
      </c>
      <c r="F20" s="41" t="s">
        <v>15</v>
      </c>
      <c r="G20" s="41" t="s">
        <v>2356</v>
      </c>
      <c r="H20" s="41" t="s">
        <v>928</v>
      </c>
      <c r="I20" s="41" t="s">
        <v>928</v>
      </c>
      <c r="J20" s="41" t="s">
        <v>928</v>
      </c>
      <c r="K20" s="41" t="s">
        <v>2357</v>
      </c>
      <c r="L20" s="41" t="s">
        <v>2358</v>
      </c>
      <c r="M20" s="41" t="s">
        <v>2258</v>
      </c>
      <c r="N20" s="41" t="s">
        <v>2250</v>
      </c>
      <c r="O20" s="41" t="s">
        <v>540</v>
      </c>
      <c r="P20" s="41" t="s">
        <v>454</v>
      </c>
      <c r="Q20" s="41" t="s">
        <v>2359</v>
      </c>
    </row>
    <row r="21" spans="1:17" ht="51.5" thickBot="1" x14ac:dyDescent="0.4">
      <c r="A21" s="54" t="s">
        <v>2360</v>
      </c>
      <c r="B21" s="41" t="s">
        <v>2215</v>
      </c>
      <c r="C21" s="41" t="s">
        <v>12</v>
      </c>
      <c r="D21" s="41" t="s">
        <v>2361</v>
      </c>
      <c r="E21" s="41" t="s">
        <v>1576</v>
      </c>
      <c r="F21" s="41" t="s">
        <v>15</v>
      </c>
      <c r="G21" s="41" t="s">
        <v>2362</v>
      </c>
      <c r="H21" s="41" t="s">
        <v>928</v>
      </c>
      <c r="I21" s="41" t="s">
        <v>928</v>
      </c>
      <c r="J21" s="41" t="s">
        <v>928</v>
      </c>
      <c r="K21" s="41" t="s">
        <v>2363</v>
      </c>
      <c r="L21" s="41" t="s">
        <v>2364</v>
      </c>
      <c r="M21" s="41" t="s">
        <v>2258</v>
      </c>
      <c r="N21" s="41" t="s">
        <v>726</v>
      </c>
      <c r="O21" s="41" t="s">
        <v>2365</v>
      </c>
      <c r="P21" s="41" t="s">
        <v>454</v>
      </c>
      <c r="Q21" s="41" t="s">
        <v>2366</v>
      </c>
    </row>
    <row r="22" spans="1:17" ht="39" thickBot="1" x14ac:dyDescent="0.4">
      <c r="A22" s="54" t="s">
        <v>2367</v>
      </c>
      <c r="B22" s="41" t="s">
        <v>2215</v>
      </c>
      <c r="C22" s="41" t="s">
        <v>12</v>
      </c>
      <c r="D22" s="41" t="s">
        <v>2368</v>
      </c>
      <c r="E22" s="41" t="s">
        <v>172</v>
      </c>
      <c r="F22" s="41" t="s">
        <v>15</v>
      </c>
      <c r="G22" s="41" t="s">
        <v>2369</v>
      </c>
      <c r="H22" s="41" t="s">
        <v>928</v>
      </c>
      <c r="I22" s="41" t="s">
        <v>2370</v>
      </c>
      <c r="J22" s="41" t="s">
        <v>928</v>
      </c>
      <c r="K22" s="41" t="s">
        <v>2371</v>
      </c>
      <c r="L22" s="41" t="s">
        <v>2372</v>
      </c>
      <c r="M22" s="41" t="s">
        <v>2223</v>
      </c>
      <c r="N22" s="41" t="s">
        <v>671</v>
      </c>
      <c r="O22" s="41" t="s">
        <v>540</v>
      </c>
      <c r="P22" s="41" t="s">
        <v>454</v>
      </c>
      <c r="Q22" s="41" t="s">
        <v>2373</v>
      </c>
    </row>
    <row r="23" spans="1:17" ht="39" thickBot="1" x14ac:dyDescent="0.4">
      <c r="A23" s="54" t="s">
        <v>2374</v>
      </c>
      <c r="B23" s="41" t="s">
        <v>2215</v>
      </c>
      <c r="C23" s="41" t="s">
        <v>12</v>
      </c>
      <c r="D23" s="41" t="s">
        <v>2375</v>
      </c>
      <c r="E23" s="41" t="s">
        <v>2376</v>
      </c>
      <c r="F23" s="41" t="s">
        <v>15</v>
      </c>
      <c r="G23" s="41" t="s">
        <v>2369</v>
      </c>
      <c r="H23" s="41" t="s">
        <v>928</v>
      </c>
      <c r="I23" s="41" t="s">
        <v>2370</v>
      </c>
      <c r="J23" s="41" t="s">
        <v>928</v>
      </c>
      <c r="K23" s="41" t="s">
        <v>2377</v>
      </c>
      <c r="L23" s="41" t="s">
        <v>2372</v>
      </c>
      <c r="M23" s="41" t="s">
        <v>2223</v>
      </c>
      <c r="N23" s="41" t="s">
        <v>671</v>
      </c>
      <c r="O23" s="41" t="s">
        <v>2378</v>
      </c>
      <c r="P23" s="41" t="s">
        <v>454</v>
      </c>
      <c r="Q23" s="55" t="s">
        <v>2379</v>
      </c>
    </row>
    <row r="24" spans="1:17" ht="39" thickBot="1" x14ac:dyDescent="0.4">
      <c r="A24" s="54" t="s">
        <v>2380</v>
      </c>
      <c r="B24" s="41" t="s">
        <v>2215</v>
      </c>
      <c r="C24" s="41" t="s">
        <v>12</v>
      </c>
      <c r="D24" s="41" t="s">
        <v>2381</v>
      </c>
      <c r="E24" s="41" t="s">
        <v>1874</v>
      </c>
      <c r="F24" s="41" t="s">
        <v>15</v>
      </c>
      <c r="G24" s="41" t="s">
        <v>2369</v>
      </c>
      <c r="H24" s="41" t="s">
        <v>928</v>
      </c>
      <c r="I24" s="41" t="s">
        <v>2370</v>
      </c>
      <c r="J24" s="41" t="s">
        <v>928</v>
      </c>
      <c r="K24" s="41" t="s">
        <v>2382</v>
      </c>
      <c r="L24" s="41" t="s">
        <v>2364</v>
      </c>
      <c r="M24" s="41" t="s">
        <v>2258</v>
      </c>
      <c r="N24" s="41" t="s">
        <v>2177</v>
      </c>
      <c r="O24" s="41" t="s">
        <v>546</v>
      </c>
      <c r="P24" s="41" t="s">
        <v>454</v>
      </c>
      <c r="Q24" s="41" t="s">
        <v>2383</v>
      </c>
    </row>
    <row r="25" spans="1:17" ht="39" thickBot="1" x14ac:dyDescent="0.4">
      <c r="A25" s="54" t="s">
        <v>2384</v>
      </c>
      <c r="B25" s="41" t="s">
        <v>2215</v>
      </c>
      <c r="C25" s="41" t="s">
        <v>25</v>
      </c>
      <c r="D25" s="41" t="s">
        <v>2385</v>
      </c>
      <c r="E25" s="41" t="s">
        <v>172</v>
      </c>
      <c r="F25" s="41" t="s">
        <v>15</v>
      </c>
      <c r="G25" s="41" t="s">
        <v>2386</v>
      </c>
      <c r="H25" s="41" t="s">
        <v>928</v>
      </c>
      <c r="I25" s="41" t="s">
        <v>928</v>
      </c>
      <c r="J25" s="41" t="s">
        <v>928</v>
      </c>
      <c r="K25" s="41" t="s">
        <v>2387</v>
      </c>
      <c r="L25" s="41" t="s">
        <v>2388</v>
      </c>
      <c r="M25" s="41" t="s">
        <v>2258</v>
      </c>
      <c r="N25" s="41" t="s">
        <v>2177</v>
      </c>
      <c r="O25" s="41" t="s">
        <v>546</v>
      </c>
      <c r="P25" s="41" t="s">
        <v>454</v>
      </c>
      <c r="Q25" s="41" t="s">
        <v>2389</v>
      </c>
    </row>
    <row r="26" spans="1:17" ht="51.5" thickBot="1" x14ac:dyDescent="0.4">
      <c r="A26" s="54" t="s">
        <v>2390</v>
      </c>
      <c r="B26" s="41" t="s">
        <v>2215</v>
      </c>
      <c r="C26" s="41" t="s">
        <v>12</v>
      </c>
      <c r="D26" s="41" t="s">
        <v>2391</v>
      </c>
      <c r="E26" s="41" t="s">
        <v>2392</v>
      </c>
      <c r="F26" s="41" t="s">
        <v>15</v>
      </c>
      <c r="G26" s="41" t="s">
        <v>2393</v>
      </c>
      <c r="H26" s="41" t="s">
        <v>928</v>
      </c>
      <c r="I26" s="41" t="s">
        <v>2394</v>
      </c>
      <c r="J26" s="41" t="s">
        <v>2394</v>
      </c>
      <c r="K26" s="41" t="s">
        <v>2395</v>
      </c>
      <c r="L26" s="41" t="s">
        <v>2396</v>
      </c>
      <c r="M26" s="41" t="s">
        <v>2223</v>
      </c>
      <c r="N26" s="41" t="s">
        <v>2397</v>
      </c>
      <c r="O26" s="41" t="s">
        <v>540</v>
      </c>
      <c r="P26" s="41" t="s">
        <v>454</v>
      </c>
      <c r="Q26" s="41" t="s">
        <v>2398</v>
      </c>
    </row>
    <row r="27" spans="1:17" ht="39" thickBot="1" x14ac:dyDescent="0.4">
      <c r="A27" s="54" t="s">
        <v>2399</v>
      </c>
      <c r="B27" s="41" t="s">
        <v>2215</v>
      </c>
      <c r="C27" s="41" t="s">
        <v>12</v>
      </c>
      <c r="D27" s="41" t="s">
        <v>2400</v>
      </c>
      <c r="E27" s="41" t="s">
        <v>2401</v>
      </c>
      <c r="F27" s="41" t="s">
        <v>15</v>
      </c>
      <c r="G27" s="41" t="s">
        <v>2393</v>
      </c>
      <c r="H27" s="41" t="s">
        <v>928</v>
      </c>
      <c r="I27" s="41" t="s">
        <v>2394</v>
      </c>
      <c r="J27" s="41" t="s">
        <v>2394</v>
      </c>
      <c r="K27" s="41" t="s">
        <v>2402</v>
      </c>
      <c r="L27" s="41" t="s">
        <v>2396</v>
      </c>
      <c r="M27" s="41" t="s">
        <v>2223</v>
      </c>
      <c r="N27" s="41" t="s">
        <v>1871</v>
      </c>
      <c r="O27" s="41" t="s">
        <v>540</v>
      </c>
      <c r="P27" s="41" t="s">
        <v>454</v>
      </c>
      <c r="Q27" s="41" t="s">
        <v>2366</v>
      </c>
    </row>
    <row r="28" spans="1:17" ht="39" thickBot="1" x14ac:dyDescent="0.4">
      <c r="A28" s="54" t="s">
        <v>2403</v>
      </c>
      <c r="B28" s="41" t="s">
        <v>2215</v>
      </c>
      <c r="C28" s="41" t="s">
        <v>12</v>
      </c>
      <c r="D28" s="41" t="s">
        <v>2404</v>
      </c>
      <c r="E28" s="41" t="s">
        <v>2405</v>
      </c>
      <c r="F28" s="41" t="s">
        <v>15</v>
      </c>
      <c r="G28" s="41" t="s">
        <v>2406</v>
      </c>
      <c r="H28" s="41" t="s">
        <v>2407</v>
      </c>
      <c r="I28" s="41" t="s">
        <v>928</v>
      </c>
      <c r="J28" s="41" t="s">
        <v>928</v>
      </c>
      <c r="K28" s="41" t="s">
        <v>2408</v>
      </c>
      <c r="L28" s="41" t="s">
        <v>2409</v>
      </c>
      <c r="M28" s="41" t="s">
        <v>2258</v>
      </c>
      <c r="N28" s="41" t="s">
        <v>2167</v>
      </c>
      <c r="O28" s="41" t="s">
        <v>546</v>
      </c>
      <c r="P28" s="41" t="s">
        <v>454</v>
      </c>
      <c r="Q28" s="41" t="s">
        <v>2410</v>
      </c>
    </row>
    <row r="29" spans="1:17" ht="51.5" thickBot="1" x14ac:dyDescent="0.4">
      <c r="A29" s="54" t="s">
        <v>2411</v>
      </c>
      <c r="B29" s="41" t="s">
        <v>2215</v>
      </c>
      <c r="C29" s="41" t="s">
        <v>31</v>
      </c>
      <c r="D29" s="41" t="s">
        <v>2412</v>
      </c>
      <c r="E29" s="41" t="s">
        <v>1652</v>
      </c>
      <c r="F29" s="41" t="s">
        <v>15</v>
      </c>
      <c r="G29" s="41" t="s">
        <v>2413</v>
      </c>
      <c r="H29" s="41" t="s">
        <v>928</v>
      </c>
      <c r="I29" s="41" t="s">
        <v>2414</v>
      </c>
      <c r="J29" s="41" t="s">
        <v>928</v>
      </c>
      <c r="K29" s="41" t="s">
        <v>2415</v>
      </c>
      <c r="L29" s="41" t="s">
        <v>2416</v>
      </c>
      <c r="M29" s="41" t="s">
        <v>2223</v>
      </c>
      <c r="N29" s="41" t="s">
        <v>981</v>
      </c>
      <c r="O29" s="41" t="s">
        <v>2417</v>
      </c>
      <c r="P29" s="41" t="s">
        <v>454</v>
      </c>
      <c r="Q29" s="41" t="s">
        <v>2418</v>
      </c>
    </row>
    <row r="30" spans="1:17" ht="39" thickBot="1" x14ac:dyDescent="0.4">
      <c r="A30" s="54" t="s">
        <v>2419</v>
      </c>
      <c r="B30" s="41" t="s">
        <v>2215</v>
      </c>
      <c r="C30" s="41" t="s">
        <v>25</v>
      </c>
      <c r="D30" s="41" t="s">
        <v>2420</v>
      </c>
      <c r="E30" s="41" t="s">
        <v>2421</v>
      </c>
      <c r="F30" s="41" t="s">
        <v>15</v>
      </c>
      <c r="G30" s="41" t="s">
        <v>2422</v>
      </c>
      <c r="H30" s="41" t="s">
        <v>928</v>
      </c>
      <c r="I30" s="41" t="s">
        <v>2423</v>
      </c>
      <c r="J30" s="41" t="s">
        <v>928</v>
      </c>
      <c r="K30" s="41" t="s">
        <v>2424</v>
      </c>
      <c r="L30" s="41" t="s">
        <v>2425</v>
      </c>
      <c r="M30" s="41" t="s">
        <v>2223</v>
      </c>
      <c r="N30" s="41" t="s">
        <v>671</v>
      </c>
      <c r="O30" s="41" t="s">
        <v>540</v>
      </c>
      <c r="P30" s="41" t="s">
        <v>454</v>
      </c>
      <c r="Q30" s="41" t="s">
        <v>2426</v>
      </c>
    </row>
    <row r="31" spans="1:17" ht="39" thickBot="1" x14ac:dyDescent="0.4">
      <c r="A31" s="54" t="s">
        <v>2427</v>
      </c>
      <c r="B31" s="41" t="s">
        <v>2215</v>
      </c>
      <c r="C31" s="41" t="s">
        <v>12</v>
      </c>
      <c r="D31" s="41" t="s">
        <v>2428</v>
      </c>
      <c r="E31" s="41" t="s">
        <v>1174</v>
      </c>
      <c r="F31" s="41" t="s">
        <v>15</v>
      </c>
      <c r="G31" s="41" t="s">
        <v>2429</v>
      </c>
      <c r="H31" s="41" t="s">
        <v>928</v>
      </c>
      <c r="I31" s="41" t="s">
        <v>928</v>
      </c>
      <c r="J31" s="41" t="s">
        <v>2430</v>
      </c>
      <c r="K31" s="41" t="s">
        <v>2431</v>
      </c>
      <c r="L31" s="41" t="s">
        <v>2425</v>
      </c>
      <c r="M31" s="41" t="s">
        <v>2258</v>
      </c>
      <c r="N31" s="41" t="s">
        <v>2167</v>
      </c>
      <c r="O31" s="41" t="s">
        <v>546</v>
      </c>
      <c r="P31" s="41" t="s">
        <v>454</v>
      </c>
      <c r="Q31" s="41" t="s">
        <v>2432</v>
      </c>
    </row>
    <row r="32" spans="1:17" ht="39" thickBot="1" x14ac:dyDescent="0.4">
      <c r="A32" s="54" t="s">
        <v>2433</v>
      </c>
      <c r="B32" s="41" t="s">
        <v>2215</v>
      </c>
      <c r="C32" s="41" t="s">
        <v>12</v>
      </c>
      <c r="D32" s="41" t="s">
        <v>280</v>
      </c>
      <c r="E32" s="41" t="s">
        <v>1174</v>
      </c>
      <c r="F32" s="41" t="s">
        <v>15</v>
      </c>
      <c r="G32" s="41" t="s">
        <v>928</v>
      </c>
      <c r="H32" s="41" t="s">
        <v>928</v>
      </c>
      <c r="I32" s="41" t="s">
        <v>928</v>
      </c>
      <c r="J32" s="41" t="s">
        <v>928</v>
      </c>
      <c r="K32" s="41" t="s">
        <v>2434</v>
      </c>
      <c r="L32" s="41" t="s">
        <v>2435</v>
      </c>
      <c r="M32" s="41" t="s">
        <v>2258</v>
      </c>
      <c r="N32" s="41" t="s">
        <v>726</v>
      </c>
      <c r="O32" s="41" t="s">
        <v>546</v>
      </c>
      <c r="P32" s="41" t="s">
        <v>455</v>
      </c>
      <c r="Q32" s="41" t="s">
        <v>2436</v>
      </c>
    </row>
    <row r="33" spans="1:17" ht="39" thickBot="1" x14ac:dyDescent="0.4">
      <c r="A33" s="54" t="s">
        <v>2437</v>
      </c>
      <c r="B33" s="41" t="s">
        <v>2215</v>
      </c>
      <c r="C33" s="41" t="s">
        <v>31</v>
      </c>
      <c r="D33" s="41" t="s">
        <v>2438</v>
      </c>
      <c r="E33" s="41" t="s">
        <v>2439</v>
      </c>
      <c r="F33" s="41" t="s">
        <v>15</v>
      </c>
      <c r="G33" s="41" t="s">
        <v>928</v>
      </c>
      <c r="H33" s="41" t="s">
        <v>928</v>
      </c>
      <c r="I33" s="41" t="s">
        <v>928</v>
      </c>
      <c r="J33" s="41" t="s">
        <v>928</v>
      </c>
      <c r="K33" s="41" t="s">
        <v>2440</v>
      </c>
      <c r="L33" s="41" t="s">
        <v>2441</v>
      </c>
      <c r="M33" s="41" t="s">
        <v>2258</v>
      </c>
      <c r="N33" s="41" t="s">
        <v>2442</v>
      </c>
      <c r="O33" s="41" t="s">
        <v>2443</v>
      </c>
      <c r="P33" s="41" t="s">
        <v>454</v>
      </c>
      <c r="Q33" s="41" t="s">
        <v>2444</v>
      </c>
    </row>
    <row r="34" spans="1:17" ht="39" thickBot="1" x14ac:dyDescent="0.4">
      <c r="A34" s="54" t="s">
        <v>2445</v>
      </c>
      <c r="B34" s="41" t="s">
        <v>2215</v>
      </c>
      <c r="C34" s="41" t="s">
        <v>12</v>
      </c>
      <c r="D34" s="41" t="s">
        <v>2446</v>
      </c>
      <c r="E34" s="41" t="s">
        <v>2447</v>
      </c>
      <c r="F34" s="41" t="s">
        <v>15</v>
      </c>
      <c r="G34" s="41" t="s">
        <v>928</v>
      </c>
      <c r="H34" s="41" t="s">
        <v>928</v>
      </c>
      <c r="I34" s="41" t="s">
        <v>928</v>
      </c>
      <c r="J34" s="41" t="s">
        <v>928</v>
      </c>
      <c r="K34" s="41" t="s">
        <v>2448</v>
      </c>
      <c r="L34" s="41" t="s">
        <v>2449</v>
      </c>
      <c r="M34" s="41" t="s">
        <v>2258</v>
      </c>
      <c r="N34" s="41" t="s">
        <v>2131</v>
      </c>
      <c r="O34" s="41" t="s">
        <v>546</v>
      </c>
      <c r="P34" s="41" t="s">
        <v>455</v>
      </c>
      <c r="Q34" s="41" t="s">
        <v>2450</v>
      </c>
    </row>
    <row r="35" spans="1:17" ht="64" thickBot="1" x14ac:dyDescent="0.4">
      <c r="A35" s="54" t="s">
        <v>2451</v>
      </c>
      <c r="B35" s="41" t="s">
        <v>2215</v>
      </c>
      <c r="C35" s="41" t="s">
        <v>25</v>
      </c>
      <c r="D35" s="41" t="s">
        <v>2452</v>
      </c>
      <c r="E35" s="41" t="s">
        <v>2453</v>
      </c>
      <c r="F35" s="41" t="s">
        <v>15</v>
      </c>
      <c r="G35" s="41" t="s">
        <v>928</v>
      </c>
      <c r="H35" s="41" t="s">
        <v>928</v>
      </c>
      <c r="I35" s="41" t="s">
        <v>928</v>
      </c>
      <c r="J35" s="41" t="s">
        <v>928</v>
      </c>
      <c r="K35" s="41" t="s">
        <v>2454</v>
      </c>
      <c r="L35" s="41" t="s">
        <v>2455</v>
      </c>
      <c r="M35" s="41" t="s">
        <v>2223</v>
      </c>
      <c r="N35" s="41" t="s">
        <v>2224</v>
      </c>
      <c r="O35" s="41" t="s">
        <v>540</v>
      </c>
      <c r="P35" s="41" t="s">
        <v>454</v>
      </c>
      <c r="Q35" s="41" t="s">
        <v>2366</v>
      </c>
    </row>
    <row r="36" spans="1:17" ht="64" thickBot="1" x14ac:dyDescent="0.4">
      <c r="A36" s="54" t="s">
        <v>2456</v>
      </c>
      <c r="B36" s="41" t="s">
        <v>2215</v>
      </c>
      <c r="C36" s="41" t="s">
        <v>12</v>
      </c>
      <c r="D36" s="41" t="s">
        <v>2457</v>
      </c>
      <c r="E36" s="41" t="s">
        <v>219</v>
      </c>
      <c r="F36" s="41" t="s">
        <v>15</v>
      </c>
      <c r="G36" s="41" t="s">
        <v>928</v>
      </c>
      <c r="H36" s="41" t="s">
        <v>928</v>
      </c>
      <c r="I36" s="41" t="s">
        <v>928</v>
      </c>
      <c r="J36" s="41" t="s">
        <v>928</v>
      </c>
      <c r="K36" s="41" t="s">
        <v>2458</v>
      </c>
      <c r="L36" s="41" t="s">
        <v>2459</v>
      </c>
      <c r="M36" s="41" t="s">
        <v>2258</v>
      </c>
      <c r="N36" s="41" t="s">
        <v>2460</v>
      </c>
      <c r="O36" s="41" t="s">
        <v>540</v>
      </c>
      <c r="P36" s="41" t="s">
        <v>454</v>
      </c>
      <c r="Q36" s="41" t="s">
        <v>2366</v>
      </c>
    </row>
    <row r="37" spans="1:17" ht="64" thickBot="1" x14ac:dyDescent="0.4">
      <c r="A37" s="54" t="s">
        <v>2461</v>
      </c>
      <c r="B37" s="41" t="s">
        <v>2215</v>
      </c>
      <c r="C37" s="41" t="s">
        <v>12</v>
      </c>
      <c r="D37" s="41" t="s">
        <v>2462</v>
      </c>
      <c r="E37" s="41" t="s">
        <v>219</v>
      </c>
      <c r="F37" s="41" t="s">
        <v>15</v>
      </c>
      <c r="G37" s="41" t="s">
        <v>2463</v>
      </c>
      <c r="H37" s="41" t="s">
        <v>928</v>
      </c>
      <c r="I37" s="41" t="s">
        <v>2464</v>
      </c>
      <c r="J37" s="41" t="s">
        <v>928</v>
      </c>
      <c r="K37" s="41" t="s">
        <v>2465</v>
      </c>
      <c r="L37" s="41" t="s">
        <v>2466</v>
      </c>
      <c r="M37" s="41" t="s">
        <v>2223</v>
      </c>
      <c r="N37" s="41" t="s">
        <v>2250</v>
      </c>
      <c r="O37" s="41" t="s">
        <v>546</v>
      </c>
      <c r="P37" s="41" t="s">
        <v>454</v>
      </c>
      <c r="Q37" s="41" t="s">
        <v>2467</v>
      </c>
    </row>
    <row r="38" spans="1:17" ht="64" thickBot="1" x14ac:dyDescent="0.4">
      <c r="A38" s="54" t="s">
        <v>2468</v>
      </c>
      <c r="B38" s="41" t="s">
        <v>2215</v>
      </c>
      <c r="C38" s="41" t="s">
        <v>12</v>
      </c>
      <c r="D38" s="41" t="s">
        <v>2469</v>
      </c>
      <c r="E38" s="41" t="s">
        <v>2470</v>
      </c>
      <c r="F38" s="41" t="s">
        <v>15</v>
      </c>
      <c r="G38" s="41" t="s">
        <v>2471</v>
      </c>
      <c r="H38" s="41" t="s">
        <v>928</v>
      </c>
      <c r="I38" s="41" t="s">
        <v>928</v>
      </c>
      <c r="J38" s="41" t="s">
        <v>928</v>
      </c>
      <c r="K38" s="41" t="s">
        <v>2472</v>
      </c>
      <c r="L38" s="41" t="s">
        <v>2473</v>
      </c>
      <c r="M38" s="41" t="s">
        <v>2258</v>
      </c>
      <c r="N38" s="41" t="s">
        <v>726</v>
      </c>
      <c r="O38" s="41" t="s">
        <v>546</v>
      </c>
      <c r="P38" s="41" t="s">
        <v>454</v>
      </c>
      <c r="Q38" s="41" t="s">
        <v>2474</v>
      </c>
    </row>
    <row r="39" spans="1:17" ht="39" thickBot="1" x14ac:dyDescent="0.4">
      <c r="A39" s="54" t="s">
        <v>2475</v>
      </c>
      <c r="B39" s="41" t="s">
        <v>2215</v>
      </c>
      <c r="C39" s="41" t="s">
        <v>31</v>
      </c>
      <c r="D39" s="41" t="s">
        <v>2476</v>
      </c>
      <c r="E39" s="41" t="s">
        <v>2477</v>
      </c>
      <c r="F39" s="41" t="s">
        <v>15</v>
      </c>
      <c r="G39" s="41" t="s">
        <v>928</v>
      </c>
      <c r="H39" s="41" t="s">
        <v>928</v>
      </c>
      <c r="I39" s="41" t="s">
        <v>928</v>
      </c>
      <c r="J39" s="41" t="s">
        <v>928</v>
      </c>
      <c r="K39" s="41" t="s">
        <v>2478</v>
      </c>
      <c r="L39" s="41" t="s">
        <v>2459</v>
      </c>
      <c r="M39" s="41" t="s">
        <v>2479</v>
      </c>
      <c r="N39" s="41" t="s">
        <v>2157</v>
      </c>
      <c r="O39" s="41" t="s">
        <v>540</v>
      </c>
      <c r="P39" s="41" t="s">
        <v>454</v>
      </c>
      <c r="Q39" s="41" t="s">
        <v>2480</v>
      </c>
    </row>
    <row r="40" spans="1:17" ht="39" thickBot="1" x14ac:dyDescent="0.4">
      <c r="A40" s="54" t="s">
        <v>2481</v>
      </c>
      <c r="B40" s="41" t="s">
        <v>2215</v>
      </c>
      <c r="C40" s="41" t="s">
        <v>25</v>
      </c>
      <c r="D40" s="41" t="s">
        <v>2482</v>
      </c>
      <c r="E40" s="41" t="s">
        <v>2483</v>
      </c>
      <c r="F40" s="41" t="s">
        <v>15</v>
      </c>
      <c r="G40" s="41" t="s">
        <v>928</v>
      </c>
      <c r="H40" s="41" t="s">
        <v>928</v>
      </c>
      <c r="I40" s="41" t="s">
        <v>928</v>
      </c>
      <c r="J40" s="41" t="s">
        <v>928</v>
      </c>
      <c r="K40" s="41" t="s">
        <v>2484</v>
      </c>
      <c r="L40" s="41" t="s">
        <v>2485</v>
      </c>
      <c r="M40" s="41" t="s">
        <v>2258</v>
      </c>
      <c r="N40" s="41" t="s">
        <v>2250</v>
      </c>
      <c r="O40" s="41" t="s">
        <v>546</v>
      </c>
      <c r="P40" s="41" t="s">
        <v>454</v>
      </c>
      <c r="Q40" s="41" t="s">
        <v>2486</v>
      </c>
    </row>
    <row r="41" spans="1:17" ht="64" thickBot="1" x14ac:dyDescent="0.4">
      <c r="A41" s="54" t="s">
        <v>2487</v>
      </c>
      <c r="B41" s="41" t="s">
        <v>2215</v>
      </c>
      <c r="C41" s="41" t="s">
        <v>2273</v>
      </c>
      <c r="D41" s="41" t="s">
        <v>2488</v>
      </c>
      <c r="E41" s="41" t="s">
        <v>257</v>
      </c>
      <c r="F41" s="41" t="s">
        <v>15</v>
      </c>
      <c r="G41" s="41" t="s">
        <v>2489</v>
      </c>
      <c r="H41" s="41" t="s">
        <v>928</v>
      </c>
      <c r="I41" s="41" t="s">
        <v>928</v>
      </c>
      <c r="J41" s="41" t="s">
        <v>928</v>
      </c>
      <c r="K41" s="41" t="s">
        <v>2490</v>
      </c>
      <c r="L41" s="41" t="s">
        <v>2425</v>
      </c>
      <c r="M41" s="41" t="s">
        <v>2258</v>
      </c>
      <c r="N41" s="41" t="s">
        <v>2491</v>
      </c>
      <c r="O41" s="41" t="s">
        <v>546</v>
      </c>
      <c r="P41" s="41" t="s">
        <v>454</v>
      </c>
      <c r="Q41" s="41" t="s">
        <v>2492</v>
      </c>
    </row>
    <row r="42" spans="1:17" ht="39" thickBot="1" x14ac:dyDescent="0.4">
      <c r="A42" s="54" t="s">
        <v>2493</v>
      </c>
      <c r="B42" s="41" t="s">
        <v>2215</v>
      </c>
      <c r="C42" s="41" t="s">
        <v>25</v>
      </c>
      <c r="D42" s="41" t="s">
        <v>2494</v>
      </c>
      <c r="E42" s="41" t="s">
        <v>2495</v>
      </c>
      <c r="F42" s="41" t="s">
        <v>15</v>
      </c>
      <c r="G42" s="41" t="s">
        <v>928</v>
      </c>
      <c r="H42" s="41" t="s">
        <v>928</v>
      </c>
      <c r="I42" s="41" t="s">
        <v>928</v>
      </c>
      <c r="J42" s="41" t="s">
        <v>928</v>
      </c>
      <c r="K42" s="41" t="s">
        <v>2496</v>
      </c>
      <c r="L42" s="41" t="s">
        <v>2364</v>
      </c>
      <c r="M42" s="41" t="s">
        <v>2258</v>
      </c>
      <c r="N42" s="41" t="s">
        <v>781</v>
      </c>
      <c r="O42" s="41" t="s">
        <v>546</v>
      </c>
      <c r="P42" s="41" t="s">
        <v>1319</v>
      </c>
      <c r="Q42" s="41" t="s">
        <v>2081</v>
      </c>
    </row>
    <row r="43" spans="1:17" ht="26.5" thickBot="1" x14ac:dyDescent="0.4">
      <c r="A43" s="54" t="s">
        <v>2497</v>
      </c>
      <c r="B43" s="41" t="s">
        <v>2215</v>
      </c>
      <c r="C43" s="41" t="s">
        <v>12</v>
      </c>
      <c r="D43" s="41" t="s">
        <v>2498</v>
      </c>
      <c r="E43" s="41" t="s">
        <v>796</v>
      </c>
      <c r="F43" s="41" t="s">
        <v>15</v>
      </c>
      <c r="G43" s="41" t="s">
        <v>2035</v>
      </c>
      <c r="H43" s="41" t="s">
        <v>2499</v>
      </c>
      <c r="I43" s="41" t="s">
        <v>2500</v>
      </c>
      <c r="J43" s="41" t="s">
        <v>928</v>
      </c>
      <c r="K43" s="41" t="s">
        <v>2501</v>
      </c>
      <c r="L43" s="41" t="s">
        <v>2502</v>
      </c>
      <c r="M43" s="41" t="s">
        <v>2223</v>
      </c>
      <c r="N43" s="41" t="s">
        <v>2503</v>
      </c>
      <c r="O43" s="41" t="s">
        <v>2225</v>
      </c>
      <c r="P43" s="41" t="s">
        <v>454</v>
      </c>
      <c r="Q43" s="41" t="s">
        <v>2504</v>
      </c>
    </row>
    <row r="44" spans="1:17" ht="39" thickBot="1" x14ac:dyDescent="0.4">
      <c r="A44" s="54" t="s">
        <v>2505</v>
      </c>
      <c r="B44" s="41" t="s">
        <v>2215</v>
      </c>
      <c r="C44" s="41" t="s">
        <v>12</v>
      </c>
      <c r="D44" s="41" t="s">
        <v>2506</v>
      </c>
      <c r="E44" s="41" t="s">
        <v>2507</v>
      </c>
      <c r="F44" s="41" t="s">
        <v>15</v>
      </c>
      <c r="G44" s="41" t="s">
        <v>928</v>
      </c>
      <c r="H44" s="41" t="s">
        <v>928</v>
      </c>
      <c r="I44" s="41" t="s">
        <v>2508</v>
      </c>
      <c r="J44" s="41" t="s">
        <v>928</v>
      </c>
      <c r="K44" s="41" t="s">
        <v>2509</v>
      </c>
      <c r="L44" s="41" t="s">
        <v>2510</v>
      </c>
      <c r="M44" s="41" t="s">
        <v>2223</v>
      </c>
      <c r="N44" s="41" t="s">
        <v>2250</v>
      </c>
      <c r="O44" s="41" t="s">
        <v>2225</v>
      </c>
      <c r="P44" s="41" t="s">
        <v>454</v>
      </c>
      <c r="Q44" s="41" t="s">
        <v>2511</v>
      </c>
    </row>
    <row r="45" spans="1:17" ht="39" thickBot="1" x14ac:dyDescent="0.4">
      <c r="A45" s="54" t="s">
        <v>2512</v>
      </c>
      <c r="B45" s="41" t="s">
        <v>2215</v>
      </c>
      <c r="C45" s="41" t="s">
        <v>25</v>
      </c>
      <c r="D45" s="41" t="s">
        <v>2513</v>
      </c>
      <c r="E45" s="41" t="s">
        <v>2514</v>
      </c>
      <c r="F45" s="41" t="s">
        <v>15</v>
      </c>
      <c r="G45" s="41" t="s">
        <v>928</v>
      </c>
      <c r="H45" s="41" t="s">
        <v>928</v>
      </c>
      <c r="I45" s="41" t="s">
        <v>928</v>
      </c>
      <c r="J45" s="41" t="s">
        <v>928</v>
      </c>
      <c r="K45" s="41" t="s">
        <v>2515</v>
      </c>
      <c r="L45" s="41" t="s">
        <v>2459</v>
      </c>
      <c r="M45" s="41" t="s">
        <v>2258</v>
      </c>
      <c r="N45" s="41" t="s">
        <v>2250</v>
      </c>
      <c r="O45" s="41" t="s">
        <v>546</v>
      </c>
      <c r="P45" s="41" t="s">
        <v>454</v>
      </c>
      <c r="Q45" s="41" t="s">
        <v>2516</v>
      </c>
    </row>
    <row r="46" spans="1:17" ht="39" thickBot="1" x14ac:dyDescent="0.4">
      <c r="A46" s="54" t="s">
        <v>2517</v>
      </c>
      <c r="B46" s="41" t="s">
        <v>2215</v>
      </c>
      <c r="C46" s="41" t="s">
        <v>12</v>
      </c>
      <c r="D46" s="41" t="s">
        <v>2518</v>
      </c>
      <c r="E46" s="41" t="s">
        <v>2519</v>
      </c>
      <c r="F46" s="41" t="s">
        <v>15</v>
      </c>
      <c r="G46" s="41" t="s">
        <v>928</v>
      </c>
      <c r="H46" s="41" t="s">
        <v>928</v>
      </c>
      <c r="I46" s="41" t="s">
        <v>928</v>
      </c>
      <c r="J46" s="41" t="s">
        <v>928</v>
      </c>
      <c r="K46" s="41" t="s">
        <v>2520</v>
      </c>
      <c r="L46" s="41" t="s">
        <v>2521</v>
      </c>
      <c r="M46" s="41" t="s">
        <v>2258</v>
      </c>
      <c r="N46" s="41" t="s">
        <v>2303</v>
      </c>
      <c r="O46" s="41" t="s">
        <v>546</v>
      </c>
      <c r="P46" s="41" t="s">
        <v>454</v>
      </c>
      <c r="Q46" s="41" t="s">
        <v>2522</v>
      </c>
    </row>
    <row r="47" spans="1:17" ht="51.5" thickBot="1" x14ac:dyDescent="0.4">
      <c r="A47" s="54" t="s">
        <v>2523</v>
      </c>
      <c r="B47" s="41" t="s">
        <v>2215</v>
      </c>
      <c r="C47" s="41" t="s">
        <v>25</v>
      </c>
      <c r="D47" s="41" t="s">
        <v>2524</v>
      </c>
      <c r="E47" s="41" t="s">
        <v>197</v>
      </c>
      <c r="F47" s="41" t="s">
        <v>15</v>
      </c>
      <c r="G47" s="41" t="s">
        <v>928</v>
      </c>
      <c r="H47" s="41" t="s">
        <v>928</v>
      </c>
      <c r="I47" s="41" t="s">
        <v>928</v>
      </c>
      <c r="J47" s="41" t="s">
        <v>928</v>
      </c>
      <c r="K47" s="41" t="s">
        <v>2525</v>
      </c>
      <c r="L47" s="41" t="s">
        <v>2502</v>
      </c>
      <c r="M47" s="41" t="s">
        <v>2258</v>
      </c>
      <c r="N47" s="41" t="s">
        <v>1975</v>
      </c>
      <c r="O47" s="41" t="s">
        <v>546</v>
      </c>
      <c r="P47" s="41" t="s">
        <v>454</v>
      </c>
      <c r="Q47" s="41" t="s">
        <v>2526</v>
      </c>
    </row>
    <row r="48" spans="1:17" ht="51.5" thickBot="1" x14ac:dyDescent="0.4">
      <c r="A48" s="54" t="s">
        <v>2527</v>
      </c>
      <c r="B48" s="41" t="s">
        <v>2215</v>
      </c>
      <c r="C48" s="41" t="s">
        <v>2273</v>
      </c>
      <c r="D48" s="41" t="s">
        <v>2528</v>
      </c>
      <c r="E48" s="41" t="s">
        <v>72</v>
      </c>
      <c r="F48" s="41" t="s">
        <v>15</v>
      </c>
      <c r="G48" s="41" t="s">
        <v>2529</v>
      </c>
      <c r="H48" s="41" t="s">
        <v>2530</v>
      </c>
      <c r="I48" s="41" t="s">
        <v>2531</v>
      </c>
      <c r="J48" s="41" t="s">
        <v>2532</v>
      </c>
      <c r="K48" s="41" t="s">
        <v>2533</v>
      </c>
      <c r="L48" s="41" t="s">
        <v>2534</v>
      </c>
      <c r="M48" s="41" t="s">
        <v>2223</v>
      </c>
      <c r="N48" s="41" t="s">
        <v>2535</v>
      </c>
      <c r="O48" s="41" t="s">
        <v>2536</v>
      </c>
      <c r="P48" s="41" t="s">
        <v>454</v>
      </c>
      <c r="Q48" s="41" t="s">
        <v>2537</v>
      </c>
    </row>
    <row r="49" spans="1:17" ht="39" thickBot="1" x14ac:dyDescent="0.4">
      <c r="A49" s="54" t="s">
        <v>2538</v>
      </c>
      <c r="B49" s="41" t="s">
        <v>2215</v>
      </c>
      <c r="C49" s="41" t="s">
        <v>2273</v>
      </c>
      <c r="D49" s="41" t="s">
        <v>2539</v>
      </c>
      <c r="E49" s="41" t="s">
        <v>2540</v>
      </c>
      <c r="F49" s="41" t="s">
        <v>15</v>
      </c>
      <c r="G49" s="41" t="s">
        <v>2541</v>
      </c>
      <c r="H49" s="41" t="s">
        <v>2530</v>
      </c>
      <c r="I49" s="41" t="s">
        <v>2531</v>
      </c>
      <c r="J49" s="41" t="s">
        <v>928</v>
      </c>
      <c r="K49" s="41" t="s">
        <v>2542</v>
      </c>
      <c r="L49" s="41" t="s">
        <v>2543</v>
      </c>
      <c r="M49" s="41" t="s">
        <v>2258</v>
      </c>
      <c r="N49" s="41" t="s">
        <v>1387</v>
      </c>
      <c r="O49" s="41" t="s">
        <v>2544</v>
      </c>
      <c r="P49" s="41" t="s">
        <v>454</v>
      </c>
      <c r="Q49" s="41" t="s">
        <v>2545</v>
      </c>
    </row>
    <row r="50" spans="1:17" ht="26.5" thickBot="1" x14ac:dyDescent="0.4">
      <c r="A50" s="54" t="s">
        <v>2546</v>
      </c>
      <c r="B50" s="41" t="s">
        <v>2215</v>
      </c>
      <c r="C50" s="41" t="s">
        <v>25</v>
      </c>
      <c r="D50" s="41" t="s">
        <v>2547</v>
      </c>
      <c r="E50" s="41" t="s">
        <v>1093</v>
      </c>
      <c r="F50" s="41" t="s">
        <v>15</v>
      </c>
      <c r="G50" s="41" t="s">
        <v>928</v>
      </c>
      <c r="H50" s="41" t="s">
        <v>928</v>
      </c>
      <c r="I50" s="41" t="s">
        <v>928</v>
      </c>
      <c r="J50" s="41" t="s">
        <v>928</v>
      </c>
      <c r="K50" s="41" t="s">
        <v>2548</v>
      </c>
      <c r="L50" s="41" t="s">
        <v>2364</v>
      </c>
      <c r="M50" s="41" t="s">
        <v>2223</v>
      </c>
      <c r="N50" s="41" t="s">
        <v>1387</v>
      </c>
      <c r="O50" s="41" t="s">
        <v>2225</v>
      </c>
      <c r="P50" s="41" t="s">
        <v>454</v>
      </c>
      <c r="Q50" s="41" t="s">
        <v>2549</v>
      </c>
    </row>
    <row r="51" spans="1:17" ht="26.5" thickBot="1" x14ac:dyDescent="0.4">
      <c r="A51" s="54" t="s">
        <v>2550</v>
      </c>
      <c r="B51" s="41" t="s">
        <v>2215</v>
      </c>
      <c r="C51" s="41" t="s">
        <v>25</v>
      </c>
      <c r="D51" s="41" t="s">
        <v>2551</v>
      </c>
      <c r="E51" s="41" t="s">
        <v>2552</v>
      </c>
      <c r="F51" s="41" t="s">
        <v>15</v>
      </c>
      <c r="G51" s="41" t="s">
        <v>928</v>
      </c>
      <c r="H51" s="41" t="s">
        <v>928</v>
      </c>
      <c r="I51" s="41" t="s">
        <v>928</v>
      </c>
      <c r="J51" s="41" t="s">
        <v>928</v>
      </c>
      <c r="K51" s="41" t="s">
        <v>2553</v>
      </c>
      <c r="L51" s="41" t="s">
        <v>2449</v>
      </c>
      <c r="M51" s="41" t="s">
        <v>2223</v>
      </c>
      <c r="N51" s="41" t="s">
        <v>1387</v>
      </c>
      <c r="O51" s="41" t="s">
        <v>2225</v>
      </c>
      <c r="P51" s="41" t="s">
        <v>454</v>
      </c>
      <c r="Q51" s="41" t="s">
        <v>2554</v>
      </c>
    </row>
    <row r="52" spans="1:17" ht="64" thickBot="1" x14ac:dyDescent="0.4">
      <c r="A52" s="54" t="s">
        <v>2555</v>
      </c>
      <c r="B52" s="41" t="s">
        <v>2215</v>
      </c>
      <c r="C52" s="41" t="s">
        <v>31</v>
      </c>
      <c r="D52" s="41" t="s">
        <v>2204</v>
      </c>
      <c r="E52" s="41" t="s">
        <v>796</v>
      </c>
      <c r="F52" s="41" t="s">
        <v>15</v>
      </c>
      <c r="G52" s="41" t="s">
        <v>928</v>
      </c>
      <c r="H52" s="41" t="s">
        <v>928</v>
      </c>
      <c r="I52" s="41" t="s">
        <v>928</v>
      </c>
      <c r="J52" s="41" t="s">
        <v>928</v>
      </c>
      <c r="K52" s="41" t="s">
        <v>2556</v>
      </c>
      <c r="L52" s="41" t="s">
        <v>2557</v>
      </c>
      <c r="M52" s="41" t="s">
        <v>2258</v>
      </c>
      <c r="N52" s="41" t="s">
        <v>2203</v>
      </c>
      <c r="O52" s="41" t="s">
        <v>1587</v>
      </c>
      <c r="P52" s="41" t="s">
        <v>2571</v>
      </c>
      <c r="Q52" s="41" t="s">
        <v>101</v>
      </c>
    </row>
    <row r="53" spans="1:17" ht="26.5" thickBot="1" x14ac:dyDescent="0.4">
      <c r="A53" s="54" t="s">
        <v>1686</v>
      </c>
      <c r="B53" s="41" t="s">
        <v>2215</v>
      </c>
      <c r="C53" s="41" t="s">
        <v>25</v>
      </c>
      <c r="D53" s="41" t="s">
        <v>2558</v>
      </c>
      <c r="E53" s="41" t="s">
        <v>2559</v>
      </c>
      <c r="F53" s="41" t="s">
        <v>15</v>
      </c>
      <c r="G53" s="41" t="s">
        <v>928</v>
      </c>
      <c r="H53" s="41" t="s">
        <v>928</v>
      </c>
      <c r="I53" s="41" t="s">
        <v>928</v>
      </c>
      <c r="J53" s="41" t="s">
        <v>928</v>
      </c>
      <c r="K53" s="41" t="s">
        <v>2560</v>
      </c>
      <c r="L53" s="41" t="s">
        <v>2561</v>
      </c>
      <c r="M53" s="41" t="s">
        <v>2258</v>
      </c>
      <c r="N53" s="41" t="s">
        <v>781</v>
      </c>
      <c r="O53" s="41" t="s">
        <v>546</v>
      </c>
      <c r="P53" s="41" t="s">
        <v>454</v>
      </c>
      <c r="Q53" s="41" t="s">
        <v>2336</v>
      </c>
    </row>
    <row r="54" spans="1:17" ht="39" thickBot="1" x14ac:dyDescent="0.4">
      <c r="A54" s="54" t="s">
        <v>2562</v>
      </c>
      <c r="B54" s="41" t="s">
        <v>2215</v>
      </c>
      <c r="C54" s="41" t="s">
        <v>25</v>
      </c>
      <c r="D54" s="41" t="s">
        <v>2563</v>
      </c>
      <c r="E54" s="41" t="s">
        <v>2021</v>
      </c>
      <c r="F54" s="41" t="s">
        <v>15</v>
      </c>
      <c r="G54" s="41" t="s">
        <v>928</v>
      </c>
      <c r="H54" s="41" t="s">
        <v>928</v>
      </c>
      <c r="I54" s="41" t="s">
        <v>928</v>
      </c>
      <c r="J54" s="41" t="s">
        <v>928</v>
      </c>
      <c r="K54" s="41" t="s">
        <v>2564</v>
      </c>
      <c r="L54" s="41" t="s">
        <v>2521</v>
      </c>
      <c r="M54" s="41" t="s">
        <v>2258</v>
      </c>
      <c r="N54" s="41" t="s">
        <v>2131</v>
      </c>
      <c r="O54" s="41" t="s">
        <v>546</v>
      </c>
      <c r="P54" s="41" t="s">
        <v>454</v>
      </c>
      <c r="Q54" s="41" t="s">
        <v>2565</v>
      </c>
    </row>
    <row r="55" spans="1:17" ht="38.5" x14ac:dyDescent="0.35">
      <c r="A55" s="56" t="s">
        <v>2566</v>
      </c>
      <c r="B55" s="42" t="s">
        <v>2215</v>
      </c>
      <c r="C55" s="42" t="s">
        <v>31</v>
      </c>
      <c r="D55" s="42" t="s">
        <v>2567</v>
      </c>
      <c r="E55" s="42" t="s">
        <v>836</v>
      </c>
      <c r="F55" s="42" t="s">
        <v>15</v>
      </c>
      <c r="G55" s="42" t="s">
        <v>928</v>
      </c>
      <c r="H55" s="42" t="s">
        <v>928</v>
      </c>
      <c r="I55" s="42" t="s">
        <v>928</v>
      </c>
      <c r="J55" s="42" t="s">
        <v>928</v>
      </c>
      <c r="K55" s="42" t="s">
        <v>2568</v>
      </c>
      <c r="L55" s="42" t="s">
        <v>2569</v>
      </c>
      <c r="M55" s="42" t="s">
        <v>2258</v>
      </c>
      <c r="N55" s="42" t="s">
        <v>840</v>
      </c>
      <c r="O55" s="42" t="s">
        <v>546</v>
      </c>
      <c r="P55" s="42" t="s">
        <v>454</v>
      </c>
      <c r="Q55" s="42" t="s">
        <v>2570</v>
      </c>
    </row>
    <row r="59" spans="1:17" x14ac:dyDescent="0.35">
      <c r="A59" s="23" t="s">
        <v>1229</v>
      </c>
      <c r="B59" s="23">
        <f>COUNTIF($P$2:$P$55,"Yes")</f>
        <v>46</v>
      </c>
    </row>
    <row r="60" spans="1:17" x14ac:dyDescent="0.35">
      <c r="A60" s="23" t="s">
        <v>459</v>
      </c>
      <c r="B60" s="23">
        <f>COUNTIF($G$2:$G$55,"N/A")</f>
        <v>23</v>
      </c>
    </row>
    <row r="61" spans="1:17" x14ac:dyDescent="0.35">
      <c r="A61" s="23" t="s">
        <v>458</v>
      </c>
      <c r="B61" s="23">
        <f>COUNTIF($H$2:$H$5,"N/A")</f>
        <v>1</v>
      </c>
    </row>
    <row r="62" spans="1:17" x14ac:dyDescent="0.35">
      <c r="A62" s="23" t="s">
        <v>457</v>
      </c>
      <c r="B62" s="23">
        <f>COUNTIF($I$2:$I$55,"N/A")</f>
        <v>33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F25B-6365-4E5D-BEBE-DBA0BC835C78}">
  <dimension ref="A1:Q25"/>
  <sheetViews>
    <sheetView topLeftCell="A14" workbookViewId="0">
      <selection activeCell="B22" sqref="B22"/>
    </sheetView>
  </sheetViews>
  <sheetFormatPr defaultRowHeight="14.5" x14ac:dyDescent="0.35"/>
  <cols>
    <col min="1" max="1" width="22.6328125" customWidth="1"/>
    <col min="3" max="3" width="26.1796875" customWidth="1"/>
    <col min="4" max="4" width="32.90625" customWidth="1"/>
    <col min="5" max="5" width="14.36328125" customWidth="1"/>
    <col min="7" max="7" width="15.7265625" customWidth="1"/>
    <col min="8" max="8" width="14.36328125" customWidth="1"/>
    <col min="9" max="9" width="22.90625" customWidth="1"/>
    <col min="10" max="10" width="25" customWidth="1"/>
    <col min="11" max="11" width="40.90625" customWidth="1"/>
    <col min="12" max="12" width="23.7265625" customWidth="1"/>
    <col min="13" max="13" width="12.36328125" customWidth="1"/>
    <col min="14" max="14" width="15.26953125" customWidth="1"/>
    <col min="15" max="15" width="14.90625" customWidth="1"/>
    <col min="16" max="16" width="17.26953125" customWidth="1"/>
    <col min="17" max="17" width="40.36328125" customWidth="1"/>
  </cols>
  <sheetData>
    <row r="1" spans="1:17" ht="1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283</v>
      </c>
      <c r="I1" s="5" t="s">
        <v>485</v>
      </c>
      <c r="J1" s="5" t="s">
        <v>486</v>
      </c>
      <c r="K1" s="5" t="s">
        <v>7</v>
      </c>
      <c r="L1" s="5" t="s">
        <v>487</v>
      </c>
      <c r="M1" s="5" t="s">
        <v>2657</v>
      </c>
      <c r="N1" s="5" t="s">
        <v>488</v>
      </c>
      <c r="O1" s="5" t="s">
        <v>489</v>
      </c>
      <c r="P1" s="5" t="s">
        <v>8</v>
      </c>
      <c r="Q1" s="6" t="s">
        <v>9</v>
      </c>
    </row>
    <row r="2" spans="1:17" ht="58.5" thickBot="1" x14ac:dyDescent="0.4">
      <c r="A2" s="3" t="s">
        <v>2658</v>
      </c>
      <c r="B2" s="1" t="s">
        <v>2659</v>
      </c>
      <c r="C2" s="1" t="s">
        <v>12</v>
      </c>
      <c r="D2" s="1" t="s">
        <v>2660</v>
      </c>
      <c r="E2" s="1" t="s">
        <v>2661</v>
      </c>
      <c r="F2" s="1" t="s">
        <v>15</v>
      </c>
      <c r="G2" s="1" t="s">
        <v>2662</v>
      </c>
      <c r="H2" s="1" t="s">
        <v>928</v>
      </c>
      <c r="I2" s="1" t="s">
        <v>928</v>
      </c>
      <c r="J2" s="1" t="s">
        <v>928</v>
      </c>
      <c r="K2" s="2" t="s">
        <v>2663</v>
      </c>
      <c r="L2" s="1" t="s">
        <v>2664</v>
      </c>
      <c r="M2" s="1" t="s">
        <v>2665</v>
      </c>
      <c r="N2" s="1" t="s">
        <v>2666</v>
      </c>
      <c r="O2" s="1" t="s">
        <v>540</v>
      </c>
      <c r="P2" s="1" t="s">
        <v>454</v>
      </c>
      <c r="Q2" s="24" t="s">
        <v>2667</v>
      </c>
    </row>
    <row r="3" spans="1:17" ht="58.5" thickBot="1" x14ac:dyDescent="0.4">
      <c r="A3" s="3" t="s">
        <v>2668</v>
      </c>
      <c r="B3" s="1" t="s">
        <v>2659</v>
      </c>
      <c r="C3" s="1" t="s">
        <v>12</v>
      </c>
      <c r="D3" s="1" t="s">
        <v>2669</v>
      </c>
      <c r="E3" s="1" t="s">
        <v>37</v>
      </c>
      <c r="F3" s="1" t="s">
        <v>15</v>
      </c>
      <c r="G3" s="1" t="s">
        <v>2670</v>
      </c>
      <c r="H3" s="1" t="s">
        <v>584</v>
      </c>
      <c r="I3" s="2" t="s">
        <v>39</v>
      </c>
      <c r="J3" s="1" t="s">
        <v>928</v>
      </c>
      <c r="K3" s="2" t="s">
        <v>2671</v>
      </c>
      <c r="L3" s="1" t="s">
        <v>2672</v>
      </c>
      <c r="M3" s="1" t="s">
        <v>2673</v>
      </c>
      <c r="N3" s="1" t="s">
        <v>2674</v>
      </c>
      <c r="O3" s="1" t="s">
        <v>540</v>
      </c>
      <c r="P3" s="1" t="s">
        <v>454</v>
      </c>
      <c r="Q3" s="24" t="s">
        <v>39</v>
      </c>
    </row>
    <row r="4" spans="1:17" ht="51.5" thickBot="1" x14ac:dyDescent="0.4">
      <c r="A4" s="3" t="s">
        <v>2675</v>
      </c>
      <c r="B4" s="1" t="s">
        <v>2659</v>
      </c>
      <c r="C4" s="1" t="s">
        <v>82</v>
      </c>
      <c r="D4" s="1" t="s">
        <v>2676</v>
      </c>
      <c r="E4" s="1" t="s">
        <v>219</v>
      </c>
      <c r="F4" s="1" t="s">
        <v>15</v>
      </c>
      <c r="G4" s="1" t="s">
        <v>797</v>
      </c>
      <c r="H4" s="1" t="s">
        <v>2677</v>
      </c>
      <c r="I4" s="2" t="s">
        <v>2678</v>
      </c>
      <c r="J4" s="1" t="s">
        <v>928</v>
      </c>
      <c r="K4" s="2" t="s">
        <v>2679</v>
      </c>
      <c r="L4" s="1" t="s">
        <v>2680</v>
      </c>
      <c r="M4" s="1" t="s">
        <v>2673</v>
      </c>
      <c r="N4" s="1" t="s">
        <v>2666</v>
      </c>
      <c r="O4" s="1" t="s">
        <v>2681</v>
      </c>
      <c r="P4" s="1" t="s">
        <v>454</v>
      </c>
      <c r="Q4" s="24" t="s">
        <v>391</v>
      </c>
    </row>
    <row r="5" spans="1:17" ht="51.5" thickBot="1" x14ac:dyDescent="0.4">
      <c r="A5" s="3" t="s">
        <v>2682</v>
      </c>
      <c r="B5" s="1" t="s">
        <v>2659</v>
      </c>
      <c r="C5" s="1" t="s">
        <v>82</v>
      </c>
      <c r="D5" s="1" t="s">
        <v>2683</v>
      </c>
      <c r="E5" s="1" t="s">
        <v>2684</v>
      </c>
      <c r="F5" s="1" t="s">
        <v>15</v>
      </c>
      <c r="G5" s="1" t="s">
        <v>2685</v>
      </c>
      <c r="H5" s="1" t="s">
        <v>2686</v>
      </c>
      <c r="I5" s="2" t="s">
        <v>391</v>
      </c>
      <c r="J5" s="1" t="s">
        <v>928</v>
      </c>
      <c r="K5" s="2" t="s">
        <v>2687</v>
      </c>
      <c r="L5" s="1" t="s">
        <v>2688</v>
      </c>
      <c r="M5" s="1" t="s">
        <v>2673</v>
      </c>
      <c r="N5" s="1" t="s">
        <v>2666</v>
      </c>
      <c r="O5" s="1" t="s">
        <v>540</v>
      </c>
      <c r="P5" s="1" t="s">
        <v>454</v>
      </c>
      <c r="Q5" s="24" t="s">
        <v>391</v>
      </c>
    </row>
    <row r="6" spans="1:17" ht="51.5" thickBot="1" x14ac:dyDescent="0.4">
      <c r="A6" s="3" t="s">
        <v>2689</v>
      </c>
      <c r="B6" s="1" t="s">
        <v>2659</v>
      </c>
      <c r="C6" s="1" t="s">
        <v>31</v>
      </c>
      <c r="D6" s="1" t="s">
        <v>2690</v>
      </c>
      <c r="E6" s="1" t="s">
        <v>2691</v>
      </c>
      <c r="F6" s="1" t="s">
        <v>15</v>
      </c>
      <c r="G6" s="1" t="s">
        <v>2692</v>
      </c>
      <c r="H6" s="1" t="s">
        <v>2693</v>
      </c>
      <c r="I6" s="2" t="s">
        <v>1618</v>
      </c>
      <c r="J6" s="1" t="s">
        <v>928</v>
      </c>
      <c r="K6" s="2" t="s">
        <v>2694</v>
      </c>
      <c r="L6" s="1" t="s">
        <v>1620</v>
      </c>
      <c r="M6" s="1" t="s">
        <v>2695</v>
      </c>
      <c r="N6" s="1" t="s">
        <v>2696</v>
      </c>
      <c r="O6" s="1" t="s">
        <v>2697</v>
      </c>
      <c r="P6" s="1" t="s">
        <v>454</v>
      </c>
      <c r="Q6" s="24" t="s">
        <v>1618</v>
      </c>
    </row>
    <row r="7" spans="1:17" ht="44" thickBot="1" x14ac:dyDescent="0.4">
      <c r="A7" s="3" t="s">
        <v>81</v>
      </c>
      <c r="B7" s="1" t="s">
        <v>2659</v>
      </c>
      <c r="C7" s="1" t="s">
        <v>12</v>
      </c>
      <c r="D7" s="1" t="s">
        <v>2698</v>
      </c>
      <c r="E7" s="1" t="s">
        <v>78</v>
      </c>
      <c r="F7" s="1" t="s">
        <v>15</v>
      </c>
      <c r="G7" s="1" t="s">
        <v>2699</v>
      </c>
      <c r="H7" s="1" t="s">
        <v>2700</v>
      </c>
      <c r="I7" s="1" t="s">
        <v>928</v>
      </c>
      <c r="J7" s="1" t="s">
        <v>928</v>
      </c>
      <c r="K7" s="2" t="s">
        <v>2701</v>
      </c>
      <c r="L7" s="1" t="s">
        <v>2688</v>
      </c>
      <c r="M7" s="1" t="s">
        <v>2665</v>
      </c>
      <c r="N7" s="1" t="s">
        <v>2702</v>
      </c>
      <c r="O7" s="1" t="s">
        <v>546</v>
      </c>
      <c r="P7" s="1" t="s">
        <v>454</v>
      </c>
      <c r="Q7" s="24" t="s">
        <v>2703</v>
      </c>
    </row>
    <row r="8" spans="1:17" ht="58.5" thickBot="1" x14ac:dyDescent="0.4">
      <c r="A8" s="3" t="s">
        <v>2704</v>
      </c>
      <c r="B8" s="1" t="s">
        <v>2659</v>
      </c>
      <c r="C8" s="1" t="s">
        <v>2705</v>
      </c>
      <c r="D8" s="1" t="s">
        <v>2706</v>
      </c>
      <c r="E8" s="1" t="s">
        <v>2691</v>
      </c>
      <c r="F8" s="1" t="s">
        <v>15</v>
      </c>
      <c r="G8" s="1" t="s">
        <v>2685</v>
      </c>
      <c r="H8" s="1" t="s">
        <v>928</v>
      </c>
      <c r="I8" s="1" t="s">
        <v>928</v>
      </c>
      <c r="J8" s="1" t="s">
        <v>928</v>
      </c>
      <c r="K8" s="1" t="s">
        <v>928</v>
      </c>
      <c r="L8" s="1" t="s">
        <v>2707</v>
      </c>
      <c r="M8" s="1" t="s">
        <v>2665</v>
      </c>
      <c r="N8" s="1" t="s">
        <v>2708</v>
      </c>
      <c r="O8" s="1" t="s">
        <v>540</v>
      </c>
      <c r="P8" s="1" t="s">
        <v>454</v>
      </c>
      <c r="Q8" s="24" t="s">
        <v>2709</v>
      </c>
    </row>
    <row r="9" spans="1:17" ht="58.5" thickBot="1" x14ac:dyDescent="0.4">
      <c r="A9" s="3" t="s">
        <v>2710</v>
      </c>
      <c r="B9" s="1" t="s">
        <v>2659</v>
      </c>
      <c r="C9" s="1" t="s">
        <v>2705</v>
      </c>
      <c r="D9" s="1" t="s">
        <v>2711</v>
      </c>
      <c r="E9" s="1" t="s">
        <v>14</v>
      </c>
      <c r="F9" s="1" t="s">
        <v>15</v>
      </c>
      <c r="G9" s="1" t="s">
        <v>450</v>
      </c>
      <c r="H9" s="1" t="s">
        <v>928</v>
      </c>
      <c r="I9" s="1" t="s">
        <v>928</v>
      </c>
      <c r="J9" s="1" t="s">
        <v>928</v>
      </c>
      <c r="K9" s="2" t="s">
        <v>2712</v>
      </c>
      <c r="L9" s="1" t="s">
        <v>2713</v>
      </c>
      <c r="M9" s="1" t="s">
        <v>2665</v>
      </c>
      <c r="N9" s="1" t="s">
        <v>2714</v>
      </c>
      <c r="O9" s="1" t="s">
        <v>546</v>
      </c>
      <c r="P9" s="1" t="s">
        <v>454</v>
      </c>
      <c r="Q9" s="24" t="s">
        <v>2715</v>
      </c>
    </row>
    <row r="10" spans="1:17" ht="58.5" thickBot="1" x14ac:dyDescent="0.4">
      <c r="A10" s="3" t="s">
        <v>2716</v>
      </c>
      <c r="B10" s="1" t="s">
        <v>2659</v>
      </c>
      <c r="C10" s="1" t="s">
        <v>12</v>
      </c>
      <c r="D10" s="1" t="s">
        <v>2717</v>
      </c>
      <c r="E10" s="1" t="s">
        <v>770</v>
      </c>
      <c r="F10" s="1" t="s">
        <v>15</v>
      </c>
      <c r="G10" s="1" t="s">
        <v>245</v>
      </c>
      <c r="H10" s="1" t="s">
        <v>480</v>
      </c>
      <c r="I10" s="2" t="s">
        <v>2718</v>
      </c>
      <c r="J10" s="1" t="s">
        <v>928</v>
      </c>
      <c r="K10" s="2" t="s">
        <v>2719</v>
      </c>
      <c r="L10" s="1" t="s">
        <v>2720</v>
      </c>
      <c r="M10" s="1" t="s">
        <v>2665</v>
      </c>
      <c r="N10" s="1" t="s">
        <v>2721</v>
      </c>
      <c r="O10" s="1" t="s">
        <v>546</v>
      </c>
      <c r="P10" s="1" t="s">
        <v>454</v>
      </c>
      <c r="Q10" s="24" t="s">
        <v>2718</v>
      </c>
    </row>
    <row r="11" spans="1:17" ht="58.5" thickBot="1" x14ac:dyDescent="0.4">
      <c r="A11" s="3" t="s">
        <v>2722</v>
      </c>
      <c r="B11" s="1" t="s">
        <v>2659</v>
      </c>
      <c r="C11" s="1" t="s">
        <v>25</v>
      </c>
      <c r="D11" s="1" t="s">
        <v>2723</v>
      </c>
      <c r="E11" s="1" t="s">
        <v>78</v>
      </c>
      <c r="F11" s="1" t="s">
        <v>15</v>
      </c>
      <c r="G11" s="1" t="s">
        <v>1828</v>
      </c>
      <c r="H11" s="1" t="s">
        <v>928</v>
      </c>
      <c r="I11" s="2" t="s">
        <v>1829</v>
      </c>
      <c r="J11" s="1" t="s">
        <v>928</v>
      </c>
      <c r="K11" s="2" t="s">
        <v>2724</v>
      </c>
      <c r="L11" s="1" t="s">
        <v>2725</v>
      </c>
      <c r="M11" s="1" t="s">
        <v>2695</v>
      </c>
      <c r="N11" s="1" t="s">
        <v>2726</v>
      </c>
      <c r="O11" s="1" t="s">
        <v>546</v>
      </c>
      <c r="P11" s="1" t="s">
        <v>454</v>
      </c>
      <c r="Q11" s="24" t="s">
        <v>1829</v>
      </c>
    </row>
    <row r="12" spans="1:17" ht="58.5" thickBot="1" x14ac:dyDescent="0.4">
      <c r="A12" s="3" t="s">
        <v>2727</v>
      </c>
      <c r="B12" s="1" t="s">
        <v>2659</v>
      </c>
      <c r="C12" s="1" t="s">
        <v>12</v>
      </c>
      <c r="D12" s="1" t="s">
        <v>2728</v>
      </c>
      <c r="E12" s="1" t="s">
        <v>2729</v>
      </c>
      <c r="F12" s="1" t="s">
        <v>15</v>
      </c>
      <c r="G12" s="1" t="s">
        <v>2730</v>
      </c>
      <c r="H12" s="1" t="s">
        <v>928</v>
      </c>
      <c r="I12" s="1" t="s">
        <v>928</v>
      </c>
      <c r="J12" s="1" t="s">
        <v>928</v>
      </c>
      <c r="K12" s="2" t="s">
        <v>2731</v>
      </c>
      <c r="L12" s="1" t="s">
        <v>2732</v>
      </c>
      <c r="M12" s="1" t="s">
        <v>2665</v>
      </c>
      <c r="N12" s="1" t="s">
        <v>2733</v>
      </c>
      <c r="O12" s="1" t="s">
        <v>546</v>
      </c>
      <c r="P12" s="1" t="s">
        <v>454</v>
      </c>
      <c r="Q12" s="24" t="s">
        <v>2734</v>
      </c>
    </row>
    <row r="13" spans="1:17" ht="58.5" thickBot="1" x14ac:dyDescent="0.4">
      <c r="A13" s="3" t="s">
        <v>2735</v>
      </c>
      <c r="B13" s="1" t="s">
        <v>2659</v>
      </c>
      <c r="C13" s="1" t="s">
        <v>31</v>
      </c>
      <c r="D13" s="1" t="s">
        <v>2736</v>
      </c>
      <c r="E13" s="1" t="s">
        <v>117</v>
      </c>
      <c r="F13" s="1" t="s">
        <v>15</v>
      </c>
      <c r="G13" s="1" t="s">
        <v>928</v>
      </c>
      <c r="H13" s="1" t="s">
        <v>928</v>
      </c>
      <c r="I13" s="1" t="s">
        <v>928</v>
      </c>
      <c r="J13" s="1" t="s">
        <v>928</v>
      </c>
      <c r="K13" s="2" t="s">
        <v>2737</v>
      </c>
      <c r="L13" s="1" t="s">
        <v>2738</v>
      </c>
      <c r="M13" s="1" t="s">
        <v>2665</v>
      </c>
      <c r="N13" s="1" t="s">
        <v>2739</v>
      </c>
      <c r="O13" s="1" t="s">
        <v>546</v>
      </c>
      <c r="P13" s="1" t="s">
        <v>454</v>
      </c>
      <c r="Q13" s="24" t="s">
        <v>2740</v>
      </c>
    </row>
    <row r="14" spans="1:17" ht="44" thickBot="1" x14ac:dyDescent="0.4">
      <c r="A14" s="3" t="s">
        <v>2741</v>
      </c>
      <c r="B14" s="1" t="s">
        <v>2659</v>
      </c>
      <c r="C14" s="1" t="s">
        <v>31</v>
      </c>
      <c r="D14" s="1" t="s">
        <v>2742</v>
      </c>
      <c r="E14" s="1" t="s">
        <v>2743</v>
      </c>
      <c r="F14" s="1" t="s">
        <v>15</v>
      </c>
      <c r="G14" s="1" t="s">
        <v>928</v>
      </c>
      <c r="H14" s="1" t="s">
        <v>928</v>
      </c>
      <c r="I14" s="1" t="s">
        <v>928</v>
      </c>
      <c r="J14" s="1" t="s">
        <v>928</v>
      </c>
      <c r="K14" s="2" t="s">
        <v>2744</v>
      </c>
      <c r="L14" s="1" t="s">
        <v>2745</v>
      </c>
      <c r="M14" s="1" t="s">
        <v>2665</v>
      </c>
      <c r="N14" s="1" t="s">
        <v>2746</v>
      </c>
      <c r="O14" s="1" t="s">
        <v>2747</v>
      </c>
      <c r="P14" s="1" t="s">
        <v>454</v>
      </c>
      <c r="Q14" s="24" t="s">
        <v>2748</v>
      </c>
    </row>
    <row r="15" spans="1:17" ht="58.5" thickBot="1" x14ac:dyDescent="0.4">
      <c r="A15" s="3" t="s">
        <v>2749</v>
      </c>
      <c r="B15" s="1" t="s">
        <v>2659</v>
      </c>
      <c r="C15" s="1" t="s">
        <v>82</v>
      </c>
      <c r="D15" s="1" t="s">
        <v>2750</v>
      </c>
      <c r="E15" s="1" t="s">
        <v>276</v>
      </c>
      <c r="F15" s="1" t="s">
        <v>15</v>
      </c>
      <c r="G15" s="1" t="s">
        <v>2685</v>
      </c>
      <c r="H15" s="1" t="s">
        <v>848</v>
      </c>
      <c r="I15" s="2" t="s">
        <v>407</v>
      </c>
      <c r="J15" s="1" t="s">
        <v>928</v>
      </c>
      <c r="K15" s="2" t="s">
        <v>2751</v>
      </c>
      <c r="L15" s="1" t="s">
        <v>2752</v>
      </c>
      <c r="M15" s="1" t="s">
        <v>2673</v>
      </c>
      <c r="N15" s="1" t="s">
        <v>2753</v>
      </c>
      <c r="O15" s="1" t="s">
        <v>540</v>
      </c>
      <c r="P15" s="1" t="s">
        <v>454</v>
      </c>
      <c r="Q15" s="24" t="s">
        <v>407</v>
      </c>
    </row>
    <row r="16" spans="1:17" ht="58.5" thickBot="1" x14ac:dyDescent="0.4">
      <c r="A16" s="3" t="s">
        <v>2754</v>
      </c>
      <c r="B16" s="1" t="s">
        <v>2659</v>
      </c>
      <c r="C16" s="1" t="s">
        <v>82</v>
      </c>
      <c r="D16" s="1" t="s">
        <v>2755</v>
      </c>
      <c r="E16" s="1" t="s">
        <v>151</v>
      </c>
      <c r="F16" s="1" t="s">
        <v>15</v>
      </c>
      <c r="G16" s="1" t="s">
        <v>2756</v>
      </c>
      <c r="H16" s="1" t="s">
        <v>848</v>
      </c>
      <c r="I16" s="2" t="s">
        <v>407</v>
      </c>
      <c r="J16" s="1" t="s">
        <v>928</v>
      </c>
      <c r="K16" s="2" t="s">
        <v>2757</v>
      </c>
      <c r="L16" s="1" t="s">
        <v>2688</v>
      </c>
      <c r="M16" s="1" t="s">
        <v>2665</v>
      </c>
      <c r="N16" s="1" t="s">
        <v>840</v>
      </c>
      <c r="O16" s="1" t="s">
        <v>546</v>
      </c>
      <c r="P16" s="1" t="s">
        <v>454</v>
      </c>
      <c r="Q16" s="24" t="s">
        <v>407</v>
      </c>
    </row>
    <row r="17" spans="1:17" ht="58" x14ac:dyDescent="0.35">
      <c r="A17" s="7" t="s">
        <v>2758</v>
      </c>
      <c r="B17" s="8" t="s">
        <v>2659</v>
      </c>
      <c r="C17" s="8" t="s">
        <v>82</v>
      </c>
      <c r="D17" s="8" t="s">
        <v>2759</v>
      </c>
      <c r="E17" s="8" t="s">
        <v>2760</v>
      </c>
      <c r="F17" s="8" t="s">
        <v>15</v>
      </c>
      <c r="G17" s="8" t="s">
        <v>2761</v>
      </c>
      <c r="H17" s="8" t="s">
        <v>2762</v>
      </c>
      <c r="I17" s="9" t="s">
        <v>2763</v>
      </c>
      <c r="J17" s="8" t="s">
        <v>928</v>
      </c>
      <c r="K17" s="9" t="s">
        <v>2764</v>
      </c>
      <c r="L17" s="8" t="s">
        <v>2765</v>
      </c>
      <c r="M17" s="8" t="s">
        <v>2673</v>
      </c>
      <c r="N17" s="8" t="s">
        <v>2766</v>
      </c>
      <c r="O17" s="8" t="s">
        <v>2697</v>
      </c>
      <c r="P17" s="8" t="s">
        <v>454</v>
      </c>
      <c r="Q17" s="25" t="s">
        <v>2763</v>
      </c>
    </row>
    <row r="18" spans="1:17" ht="15" thickBot="1" x14ac:dyDescent="0.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22" spans="1:17" x14ac:dyDescent="0.35">
      <c r="A22" s="23" t="s">
        <v>1229</v>
      </c>
      <c r="B22" s="23">
        <f>COUNTIF($P$2:$P$17,"Yes")</f>
        <v>16</v>
      </c>
    </row>
    <row r="23" spans="1:17" x14ac:dyDescent="0.35">
      <c r="A23" s="23" t="s">
        <v>459</v>
      </c>
      <c r="B23" s="23">
        <f>COUNTIF($G$2:$G$17,"N/A")</f>
        <v>2</v>
      </c>
    </row>
    <row r="24" spans="1:17" x14ac:dyDescent="0.35">
      <c r="A24" s="23" t="s">
        <v>458</v>
      </c>
      <c r="B24" s="23">
        <f>COUNTIF($H$2:$H$17,"N/A")</f>
        <v>7</v>
      </c>
    </row>
    <row r="25" spans="1:17" x14ac:dyDescent="0.35">
      <c r="A25" s="23" t="s">
        <v>457</v>
      </c>
      <c r="B25" s="23">
        <f>COUNTIF($I$2:$I$17,"N/A")</f>
        <v>7</v>
      </c>
    </row>
  </sheetData>
  <hyperlinks>
    <hyperlink ref="K2" r:id="rId1" xr:uid="{B528679A-D924-44FD-8606-0E0885FB4784}"/>
    <hyperlink ref="Q2" r:id="rId2" xr:uid="{9979281A-5C1F-406E-A60C-F4B7CA40361E}"/>
    <hyperlink ref="I3" r:id="rId3" xr:uid="{10D03E29-317C-497B-9461-70BD2C94E2E2}"/>
    <hyperlink ref="K3" r:id="rId4" xr:uid="{48A27974-69FA-4C6F-A174-5CE14748CA7D}"/>
    <hyperlink ref="Q3" r:id="rId5" xr:uid="{9AB4BCC7-355B-4D9D-8679-DF206B9CE1AA}"/>
    <hyperlink ref="I4" r:id="rId6" xr:uid="{43E90DDE-7460-4910-AB06-7451A15D35E5}"/>
    <hyperlink ref="K4" r:id="rId7" xr:uid="{E62CADA1-60EE-4BED-8E85-63C39D93B238}"/>
    <hyperlink ref="Q4" r:id="rId8" xr:uid="{95571BB9-B36A-4132-9D35-560E6574939B}"/>
    <hyperlink ref="I5" r:id="rId9" xr:uid="{8FBCD478-202C-4F23-97BF-04D197C08BDC}"/>
    <hyperlink ref="K5" r:id="rId10" xr:uid="{5348EF85-1E65-44C9-919A-DB3B6F0EDD97}"/>
    <hyperlink ref="Q5" r:id="rId11" xr:uid="{F63966D7-B6EA-4674-B898-9EF656BD96ED}"/>
    <hyperlink ref="I6" r:id="rId12" xr:uid="{77FA08D4-A7D9-4B83-89B7-80F97AE1BC94}"/>
    <hyperlink ref="K6" r:id="rId13" xr:uid="{6235523C-FBD1-4DB7-B424-8633B2BB2AB0}"/>
    <hyperlink ref="Q6" r:id="rId14" xr:uid="{2EDBD276-9867-4F77-B8A2-5D56FBEED96E}"/>
    <hyperlink ref="K7" r:id="rId15" xr:uid="{6558E0C7-ECFD-4B37-A645-905A2FFDBAD9}"/>
    <hyperlink ref="Q7" r:id="rId16" xr:uid="{6D667AB3-8369-4E19-9AC5-50C3B760A663}"/>
    <hyperlink ref="Q8" r:id="rId17" xr:uid="{64018312-D3B8-4BF7-ADAD-D154D05C3546}"/>
    <hyperlink ref="K9" r:id="rId18" xr:uid="{683C1164-F0C3-4890-93ED-3E4414A91FEE}"/>
    <hyperlink ref="Q9" r:id="rId19" xr:uid="{76FA7640-7A19-44B2-B815-C55EC127E17D}"/>
    <hyperlink ref="I10" r:id="rId20" xr:uid="{D22AA8C5-FAE7-4E36-B642-9C856B9510A5}"/>
    <hyperlink ref="K10" r:id="rId21" xr:uid="{EB7A23FD-5E25-4B7B-81A2-833925EBF497}"/>
    <hyperlink ref="Q10" r:id="rId22" xr:uid="{08DACA21-25C3-45F7-AF0B-64CE60CE236E}"/>
    <hyperlink ref="I11" r:id="rId23" xr:uid="{41625486-3363-47A8-B618-1AA7DF038616}"/>
    <hyperlink ref="K11" r:id="rId24" xr:uid="{28A65620-2704-4323-B590-9AD9F5F021D4}"/>
    <hyperlink ref="Q11" r:id="rId25" xr:uid="{4302B877-3E79-4097-9EF0-4BE5E99352EC}"/>
    <hyperlink ref="K12" r:id="rId26" xr:uid="{36CEFA00-77F9-47DD-B8B4-E88F59976C1F}"/>
    <hyperlink ref="Q12" r:id="rId27" xr:uid="{183B4C3B-E4D8-4DD3-A2F5-28D0F7732AD1}"/>
    <hyperlink ref="K13" r:id="rId28" xr:uid="{B86D6693-1315-4AA5-9493-7FF379CA8A63}"/>
    <hyperlink ref="Q13" r:id="rId29" xr:uid="{F2CE9C52-FE26-4321-8F7D-8A420A65FAD4}"/>
    <hyperlink ref="K14" r:id="rId30" xr:uid="{3788B76D-83C7-4E36-9760-3676A4B625A9}"/>
    <hyperlink ref="Q14" r:id="rId31" xr:uid="{7992A44D-FE0B-484C-AF8A-9D91CF9D0C56}"/>
    <hyperlink ref="I15" r:id="rId32" xr:uid="{A0A0D291-7920-42E9-8112-F04DB09CF63D}"/>
    <hyperlink ref="K15" r:id="rId33" xr:uid="{9EB6842E-A931-4248-9AEF-4A9E68806001}"/>
    <hyperlink ref="Q15" r:id="rId34" xr:uid="{53C1883B-F5EC-44FD-824A-433641C8C9D8}"/>
    <hyperlink ref="I16" r:id="rId35" xr:uid="{54A629B3-0CEF-46EC-AB85-AC61803D0023}"/>
    <hyperlink ref="K16" r:id="rId36" xr:uid="{D6834C4C-395B-444D-ACAF-36E49C4848DB}"/>
    <hyperlink ref="Q16" r:id="rId37" xr:uid="{05EC231F-EC92-4685-9C75-A76AE4A48831}"/>
    <hyperlink ref="I17" r:id="rId38" xr:uid="{3C535023-F289-44F9-929C-43BE82E41142}"/>
    <hyperlink ref="K17" r:id="rId39" xr:uid="{3EF5234C-C6D9-4D85-BA44-7E4C78E8C525}"/>
    <hyperlink ref="Q17" r:id="rId40" xr:uid="{59991F85-D260-42C4-9493-A0FA0E58C5B8}"/>
  </hyperlinks>
  <pageMargins left="0.7" right="0.7" top="0.75" bottom="0.75" header="0.3" footer="0.3"/>
  <tableParts count="1">
    <tablePart r:id="rId4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D62A-12A5-4687-ABA7-FB5C0ABBD371}">
  <dimension ref="A1:R30"/>
  <sheetViews>
    <sheetView tabSelected="1" topLeftCell="A18" workbookViewId="0">
      <selection activeCell="B27" sqref="B27"/>
    </sheetView>
  </sheetViews>
  <sheetFormatPr defaultRowHeight="14.5" x14ac:dyDescent="0.35"/>
  <cols>
    <col min="1" max="1" width="32.1796875" customWidth="1"/>
    <col min="3" max="3" width="14.81640625" customWidth="1"/>
    <col min="4" max="4" width="28" customWidth="1"/>
    <col min="5" max="5" width="14.81640625" customWidth="1"/>
    <col min="6" max="6" width="12.36328125" customWidth="1"/>
    <col min="7" max="7" width="17.26953125" customWidth="1"/>
    <col min="8" max="8" width="26.54296875" customWidth="1"/>
    <col min="9" max="9" width="26.08984375" customWidth="1"/>
    <col min="10" max="10" width="26.1796875" customWidth="1"/>
    <col min="11" max="11" width="26.08984375" customWidth="1"/>
    <col min="12" max="12" width="24.1796875" customWidth="1"/>
    <col min="13" max="13" width="18.1796875" customWidth="1"/>
    <col min="14" max="14" width="15.453125" customWidth="1"/>
    <col min="15" max="15" width="17.36328125" customWidth="1"/>
    <col min="16" max="16" width="24.81640625" customWidth="1"/>
    <col min="17" max="17" width="17.26953125" customWidth="1"/>
    <col min="18" max="18" width="23.81640625" customWidth="1"/>
  </cols>
  <sheetData>
    <row r="1" spans="1:18" ht="1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283</v>
      </c>
      <c r="I1" s="5" t="s">
        <v>485</v>
      </c>
      <c r="J1" s="5" t="s">
        <v>486</v>
      </c>
      <c r="K1" s="5" t="s">
        <v>7</v>
      </c>
      <c r="L1" s="5" t="s">
        <v>487</v>
      </c>
      <c r="M1" s="5" t="s">
        <v>2767</v>
      </c>
      <c r="N1" s="5" t="s">
        <v>2768</v>
      </c>
      <c r="O1" s="5" t="s">
        <v>488</v>
      </c>
      <c r="P1" s="5" t="s">
        <v>489</v>
      </c>
      <c r="Q1" s="5" t="s">
        <v>8</v>
      </c>
      <c r="R1" s="6" t="s">
        <v>9</v>
      </c>
    </row>
    <row r="2" spans="1:18" ht="44" thickBot="1" x14ac:dyDescent="0.4">
      <c r="A2" s="3" t="s">
        <v>2769</v>
      </c>
      <c r="B2" s="1" t="s">
        <v>2770</v>
      </c>
      <c r="C2" s="1" t="s">
        <v>12</v>
      </c>
      <c r="D2" s="1" t="s">
        <v>2771</v>
      </c>
      <c r="E2" s="1" t="s">
        <v>117</v>
      </c>
      <c r="F2" s="1" t="s">
        <v>15</v>
      </c>
      <c r="G2" s="1" t="s">
        <v>2772</v>
      </c>
      <c r="H2" s="1" t="s">
        <v>2773</v>
      </c>
      <c r="I2" s="2" t="s">
        <v>2774</v>
      </c>
      <c r="J2" s="1" t="s">
        <v>928</v>
      </c>
      <c r="K2" s="2" t="s">
        <v>1540</v>
      </c>
      <c r="L2" s="1" t="s">
        <v>1637</v>
      </c>
      <c r="M2" s="1" t="s">
        <v>2775</v>
      </c>
      <c r="N2" s="1" t="s">
        <v>2776</v>
      </c>
      <c r="O2" s="1" t="s">
        <v>2777</v>
      </c>
      <c r="P2" s="1" t="s">
        <v>2062</v>
      </c>
      <c r="Q2" s="1" t="s">
        <v>454</v>
      </c>
      <c r="R2" s="24" t="s">
        <v>2778</v>
      </c>
    </row>
    <row r="3" spans="1:18" ht="44" thickBot="1" x14ac:dyDescent="0.4">
      <c r="A3" s="3" t="s">
        <v>2779</v>
      </c>
      <c r="B3" s="1" t="s">
        <v>2770</v>
      </c>
      <c r="C3" s="1" t="s">
        <v>12</v>
      </c>
      <c r="D3" s="1" t="s">
        <v>2780</v>
      </c>
      <c r="E3" s="1" t="s">
        <v>14</v>
      </c>
      <c r="F3" s="1" t="s">
        <v>15</v>
      </c>
      <c r="G3" s="1" t="s">
        <v>2781</v>
      </c>
      <c r="H3" s="1" t="s">
        <v>2782</v>
      </c>
      <c r="I3" s="2" t="s">
        <v>1246</v>
      </c>
      <c r="J3" s="1" t="s">
        <v>928</v>
      </c>
      <c r="K3" s="2" t="s">
        <v>1696</v>
      </c>
      <c r="L3" s="1" t="s">
        <v>2783</v>
      </c>
      <c r="M3" s="1" t="s">
        <v>2784</v>
      </c>
      <c r="N3" s="1" t="s">
        <v>2785</v>
      </c>
      <c r="O3" s="1" t="s">
        <v>2786</v>
      </c>
      <c r="P3" s="1" t="s">
        <v>2787</v>
      </c>
      <c r="Q3" s="1" t="s">
        <v>454</v>
      </c>
      <c r="R3" s="24" t="s">
        <v>2788</v>
      </c>
    </row>
    <row r="4" spans="1:18" ht="51.5" thickBot="1" x14ac:dyDescent="0.4">
      <c r="A4" s="3" t="s">
        <v>95</v>
      </c>
      <c r="B4" s="1" t="s">
        <v>2770</v>
      </c>
      <c r="C4" s="1" t="s">
        <v>12</v>
      </c>
      <c r="D4" s="1" t="s">
        <v>2789</v>
      </c>
      <c r="E4" s="1" t="s">
        <v>151</v>
      </c>
      <c r="F4" s="1" t="s">
        <v>15</v>
      </c>
      <c r="G4" s="1" t="s">
        <v>2790</v>
      </c>
      <c r="H4" s="1" t="s">
        <v>871</v>
      </c>
      <c r="I4" s="2" t="s">
        <v>2791</v>
      </c>
      <c r="J4" s="1" t="s">
        <v>928</v>
      </c>
      <c r="K4" s="2" t="s">
        <v>1732</v>
      </c>
      <c r="L4" s="1" t="s">
        <v>2792</v>
      </c>
      <c r="M4" s="1" t="s">
        <v>2775</v>
      </c>
      <c r="N4" s="1" t="s">
        <v>2793</v>
      </c>
      <c r="O4" s="1" t="s">
        <v>2794</v>
      </c>
      <c r="P4" s="1" t="s">
        <v>540</v>
      </c>
      <c r="Q4" s="1" t="s">
        <v>454</v>
      </c>
      <c r="R4" s="24" t="s">
        <v>2795</v>
      </c>
    </row>
    <row r="5" spans="1:18" ht="51.5" thickBot="1" x14ac:dyDescent="0.4">
      <c r="A5" s="3" t="s">
        <v>183</v>
      </c>
      <c r="B5" s="1" t="s">
        <v>2770</v>
      </c>
      <c r="C5" s="1" t="s">
        <v>25</v>
      </c>
      <c r="D5" s="1" t="s">
        <v>2796</v>
      </c>
      <c r="E5" s="1" t="s">
        <v>211</v>
      </c>
      <c r="F5" s="1" t="s">
        <v>15</v>
      </c>
      <c r="G5" s="1" t="s">
        <v>185</v>
      </c>
      <c r="H5" s="1" t="s">
        <v>475</v>
      </c>
      <c r="I5" s="2" t="s">
        <v>2797</v>
      </c>
      <c r="J5" s="1" t="s">
        <v>928</v>
      </c>
      <c r="K5" s="2" t="s">
        <v>2798</v>
      </c>
      <c r="L5" s="1" t="s">
        <v>1606</v>
      </c>
      <c r="M5" s="1" t="s">
        <v>2799</v>
      </c>
      <c r="N5" s="1" t="s">
        <v>2800</v>
      </c>
      <c r="O5" s="1" t="s">
        <v>2801</v>
      </c>
      <c r="P5" s="1" t="s">
        <v>2802</v>
      </c>
      <c r="Q5" s="1" t="s">
        <v>454</v>
      </c>
      <c r="R5" s="24" t="s">
        <v>2803</v>
      </c>
    </row>
    <row r="6" spans="1:18" ht="73" thickBot="1" x14ac:dyDescent="0.4">
      <c r="A6" s="3" t="s">
        <v>2804</v>
      </c>
      <c r="B6" s="1" t="s">
        <v>2770</v>
      </c>
      <c r="C6" s="1" t="s">
        <v>2805</v>
      </c>
      <c r="D6" s="1" t="s">
        <v>2806</v>
      </c>
      <c r="E6" s="1" t="s">
        <v>257</v>
      </c>
      <c r="F6" s="1" t="s">
        <v>15</v>
      </c>
      <c r="G6" s="1" t="s">
        <v>2807</v>
      </c>
      <c r="H6" s="1" t="s">
        <v>928</v>
      </c>
      <c r="I6" s="1" t="s">
        <v>928</v>
      </c>
      <c r="J6" s="1" t="s">
        <v>928</v>
      </c>
      <c r="K6" s="2" t="s">
        <v>2808</v>
      </c>
      <c r="L6" s="1" t="s">
        <v>2809</v>
      </c>
      <c r="M6" s="1" t="s">
        <v>2799</v>
      </c>
      <c r="N6" s="1" t="s">
        <v>2800</v>
      </c>
      <c r="O6" s="1" t="s">
        <v>2810</v>
      </c>
      <c r="P6" s="1" t="s">
        <v>546</v>
      </c>
      <c r="Q6" s="1" t="s">
        <v>454</v>
      </c>
      <c r="R6" s="24" t="s">
        <v>2811</v>
      </c>
    </row>
    <row r="7" spans="1:18" ht="44" thickBot="1" x14ac:dyDescent="0.4">
      <c r="A7" s="3" t="s">
        <v>2812</v>
      </c>
      <c r="B7" s="1" t="s">
        <v>2770</v>
      </c>
      <c r="C7" s="1" t="s">
        <v>25</v>
      </c>
      <c r="D7" s="1" t="s">
        <v>2813</v>
      </c>
      <c r="E7" s="1" t="s">
        <v>219</v>
      </c>
      <c r="F7" s="1" t="s">
        <v>15</v>
      </c>
      <c r="G7" s="1" t="s">
        <v>2814</v>
      </c>
      <c r="H7" s="1" t="s">
        <v>798</v>
      </c>
      <c r="I7" s="2" t="s">
        <v>799</v>
      </c>
      <c r="J7" s="1" t="s">
        <v>928</v>
      </c>
      <c r="K7" s="2" t="s">
        <v>1498</v>
      </c>
      <c r="L7" s="1" t="s">
        <v>1606</v>
      </c>
      <c r="M7" s="1" t="s">
        <v>2775</v>
      </c>
      <c r="N7" s="1" t="s">
        <v>2785</v>
      </c>
      <c r="O7" s="1" t="s">
        <v>2815</v>
      </c>
      <c r="P7" s="1" t="s">
        <v>2062</v>
      </c>
      <c r="Q7" s="1" t="s">
        <v>454</v>
      </c>
      <c r="R7" s="24" t="s">
        <v>799</v>
      </c>
    </row>
    <row r="8" spans="1:18" ht="44" thickBot="1" x14ac:dyDescent="0.4">
      <c r="A8" s="3" t="s">
        <v>2816</v>
      </c>
      <c r="B8" s="1" t="s">
        <v>2770</v>
      </c>
      <c r="C8" s="1" t="s">
        <v>2805</v>
      </c>
      <c r="D8" s="1" t="s">
        <v>2817</v>
      </c>
      <c r="E8" s="1" t="s">
        <v>229</v>
      </c>
      <c r="F8" s="1" t="s">
        <v>15</v>
      </c>
      <c r="G8" s="1" t="s">
        <v>2818</v>
      </c>
      <c r="H8" s="1" t="s">
        <v>928</v>
      </c>
      <c r="I8" s="2" t="s">
        <v>2819</v>
      </c>
      <c r="J8" s="1" t="s">
        <v>928</v>
      </c>
      <c r="K8" s="2" t="s">
        <v>2820</v>
      </c>
      <c r="L8" s="1" t="s">
        <v>2821</v>
      </c>
      <c r="M8" s="1" t="s">
        <v>2784</v>
      </c>
      <c r="N8" s="1" t="s">
        <v>2785</v>
      </c>
      <c r="O8" s="1" t="s">
        <v>791</v>
      </c>
      <c r="P8" s="1" t="s">
        <v>2062</v>
      </c>
      <c r="Q8" s="1" t="s">
        <v>454</v>
      </c>
      <c r="R8" s="24" t="s">
        <v>2819</v>
      </c>
    </row>
    <row r="9" spans="1:18" ht="51.5" thickBot="1" x14ac:dyDescent="0.4">
      <c r="A9" s="3" t="s">
        <v>1646</v>
      </c>
      <c r="B9" s="1" t="s">
        <v>2770</v>
      </c>
      <c r="C9" s="1" t="s">
        <v>25</v>
      </c>
      <c r="D9" s="1" t="s">
        <v>1647</v>
      </c>
      <c r="E9" s="1" t="s">
        <v>219</v>
      </c>
      <c r="F9" s="1" t="s">
        <v>15</v>
      </c>
      <c r="G9" s="1" t="s">
        <v>1648</v>
      </c>
      <c r="H9" s="1" t="s">
        <v>928</v>
      </c>
      <c r="I9" s="1" t="s">
        <v>928</v>
      </c>
      <c r="J9" s="2" t="s">
        <v>2822</v>
      </c>
      <c r="K9" s="2" t="s">
        <v>1698</v>
      </c>
      <c r="L9" s="1" t="s">
        <v>1606</v>
      </c>
      <c r="M9" s="1" t="s">
        <v>2799</v>
      </c>
      <c r="N9" s="1" t="s">
        <v>2800</v>
      </c>
      <c r="O9" s="1" t="s">
        <v>1089</v>
      </c>
      <c r="P9" s="1" t="s">
        <v>546</v>
      </c>
      <c r="Q9" s="1" t="s">
        <v>454</v>
      </c>
      <c r="R9" s="24" t="s">
        <v>2822</v>
      </c>
    </row>
    <row r="10" spans="1:18" ht="58.5" thickBot="1" x14ac:dyDescent="0.4">
      <c r="A10" s="3" t="s">
        <v>375</v>
      </c>
      <c r="B10" s="1" t="s">
        <v>2770</v>
      </c>
      <c r="C10" s="1" t="s">
        <v>25</v>
      </c>
      <c r="D10" s="1" t="s">
        <v>377</v>
      </c>
      <c r="E10" s="1" t="s">
        <v>219</v>
      </c>
      <c r="F10" s="1" t="s">
        <v>15</v>
      </c>
      <c r="G10" s="1" t="s">
        <v>378</v>
      </c>
      <c r="H10" s="1" t="s">
        <v>928</v>
      </c>
      <c r="I10" s="1" t="s">
        <v>928</v>
      </c>
      <c r="J10" s="1" t="s">
        <v>928</v>
      </c>
      <c r="K10" s="2" t="s">
        <v>1532</v>
      </c>
      <c r="L10" s="1" t="s">
        <v>1606</v>
      </c>
      <c r="M10" s="1" t="s">
        <v>2799</v>
      </c>
      <c r="N10" s="1" t="s">
        <v>2800</v>
      </c>
      <c r="O10" s="1" t="s">
        <v>781</v>
      </c>
      <c r="P10" s="1" t="s">
        <v>546</v>
      </c>
      <c r="Q10" s="1" t="s">
        <v>1319</v>
      </c>
      <c r="R10" s="24" t="s">
        <v>1532</v>
      </c>
    </row>
    <row r="11" spans="1:18" ht="58.5" thickBot="1" x14ac:dyDescent="0.4">
      <c r="A11" s="3" t="s">
        <v>223</v>
      </c>
      <c r="B11" s="1" t="s">
        <v>2770</v>
      </c>
      <c r="C11" s="1" t="s">
        <v>25</v>
      </c>
      <c r="D11" s="1" t="s">
        <v>2823</v>
      </c>
      <c r="E11" s="1" t="s">
        <v>219</v>
      </c>
      <c r="F11" s="1" t="s">
        <v>15</v>
      </c>
      <c r="G11" s="1" t="s">
        <v>225</v>
      </c>
      <c r="H11" s="1" t="s">
        <v>928</v>
      </c>
      <c r="I11" s="1" t="s">
        <v>928</v>
      </c>
      <c r="J11" s="1" t="s">
        <v>928</v>
      </c>
      <c r="K11" s="2" t="s">
        <v>1534</v>
      </c>
      <c r="L11" s="1" t="s">
        <v>1606</v>
      </c>
      <c r="M11" s="1" t="s">
        <v>2799</v>
      </c>
      <c r="N11" s="1" t="s">
        <v>2800</v>
      </c>
      <c r="O11" s="1" t="s">
        <v>781</v>
      </c>
      <c r="P11" s="1" t="s">
        <v>546</v>
      </c>
      <c r="Q11" s="1" t="s">
        <v>1319</v>
      </c>
      <c r="R11" s="24" t="s">
        <v>1534</v>
      </c>
    </row>
    <row r="12" spans="1:18" ht="51.5" thickBot="1" x14ac:dyDescent="0.4">
      <c r="A12" s="3" t="s">
        <v>2824</v>
      </c>
      <c r="B12" s="1" t="s">
        <v>2770</v>
      </c>
      <c r="C12" s="1" t="s">
        <v>31</v>
      </c>
      <c r="D12" s="1" t="s">
        <v>2825</v>
      </c>
      <c r="E12" s="1" t="s">
        <v>51</v>
      </c>
      <c r="F12" s="1" t="s">
        <v>15</v>
      </c>
      <c r="G12" s="1" t="s">
        <v>2826</v>
      </c>
      <c r="H12" s="1" t="s">
        <v>2827</v>
      </c>
      <c r="I12" s="2" t="s">
        <v>2828</v>
      </c>
      <c r="J12" s="1" t="s">
        <v>928</v>
      </c>
      <c r="K12" s="1" t="s">
        <v>928</v>
      </c>
      <c r="L12" s="1" t="s">
        <v>2829</v>
      </c>
      <c r="M12" s="1" t="s">
        <v>2775</v>
      </c>
      <c r="N12" s="1" t="s">
        <v>2785</v>
      </c>
      <c r="O12" s="1" t="s">
        <v>840</v>
      </c>
      <c r="P12" s="1" t="s">
        <v>2026</v>
      </c>
      <c r="Q12" s="1" t="s">
        <v>454</v>
      </c>
      <c r="R12" s="24" t="s">
        <v>2830</v>
      </c>
    </row>
    <row r="13" spans="1:18" ht="51.5" thickBot="1" x14ac:dyDescent="0.4">
      <c r="A13" s="3" t="s">
        <v>2831</v>
      </c>
      <c r="B13" s="1" t="s">
        <v>2770</v>
      </c>
      <c r="C13" s="1" t="s">
        <v>31</v>
      </c>
      <c r="D13" s="1" t="s">
        <v>2832</v>
      </c>
      <c r="E13" s="1" t="s">
        <v>91</v>
      </c>
      <c r="F13" s="1" t="s">
        <v>15</v>
      </c>
      <c r="G13" s="1" t="s">
        <v>2833</v>
      </c>
      <c r="H13" s="1" t="s">
        <v>1138</v>
      </c>
      <c r="I13" s="2" t="s">
        <v>787</v>
      </c>
      <c r="J13" s="1" t="s">
        <v>928</v>
      </c>
      <c r="K13" s="2" t="s">
        <v>1449</v>
      </c>
      <c r="L13" s="1" t="s">
        <v>2834</v>
      </c>
      <c r="M13" s="1" t="s">
        <v>2799</v>
      </c>
      <c r="N13" s="1" t="s">
        <v>2800</v>
      </c>
      <c r="O13" s="1" t="s">
        <v>2835</v>
      </c>
      <c r="P13" s="1" t="s">
        <v>546</v>
      </c>
      <c r="Q13" s="1" t="s">
        <v>454</v>
      </c>
      <c r="R13" s="24" t="s">
        <v>787</v>
      </c>
    </row>
    <row r="14" spans="1:18" ht="44" thickBot="1" x14ac:dyDescent="0.4">
      <c r="A14" s="3" t="s">
        <v>2836</v>
      </c>
      <c r="B14" s="1" t="s">
        <v>2770</v>
      </c>
      <c r="C14" s="1" t="s">
        <v>31</v>
      </c>
      <c r="D14" s="1" t="s">
        <v>2837</v>
      </c>
      <c r="E14" s="1" t="s">
        <v>72</v>
      </c>
      <c r="F14" s="1" t="s">
        <v>15</v>
      </c>
      <c r="G14" s="1" t="s">
        <v>2838</v>
      </c>
      <c r="H14" s="1" t="s">
        <v>2839</v>
      </c>
      <c r="I14" s="2" t="s">
        <v>955</v>
      </c>
      <c r="J14" s="1" t="s">
        <v>928</v>
      </c>
      <c r="K14" s="2" t="s">
        <v>1450</v>
      </c>
      <c r="L14" s="1" t="s">
        <v>2834</v>
      </c>
      <c r="M14" s="1" t="s">
        <v>2799</v>
      </c>
      <c r="N14" s="1" t="s">
        <v>2800</v>
      </c>
      <c r="O14" s="1" t="s">
        <v>840</v>
      </c>
      <c r="P14" s="1" t="s">
        <v>546</v>
      </c>
      <c r="Q14" s="1" t="s">
        <v>454</v>
      </c>
      <c r="R14" s="24" t="s">
        <v>955</v>
      </c>
    </row>
    <row r="15" spans="1:18" ht="44" thickBot="1" x14ac:dyDescent="0.4">
      <c r="A15" s="3" t="s">
        <v>2840</v>
      </c>
      <c r="B15" s="1" t="s">
        <v>2770</v>
      </c>
      <c r="C15" s="1" t="s">
        <v>31</v>
      </c>
      <c r="D15" s="1" t="s">
        <v>2841</v>
      </c>
      <c r="E15" s="1" t="s">
        <v>257</v>
      </c>
      <c r="F15" s="1" t="s">
        <v>15</v>
      </c>
      <c r="G15" s="1" t="s">
        <v>825</v>
      </c>
      <c r="H15" s="1" t="s">
        <v>2693</v>
      </c>
      <c r="I15" s="2" t="s">
        <v>827</v>
      </c>
      <c r="J15" s="1" t="s">
        <v>928</v>
      </c>
      <c r="K15" s="2" t="s">
        <v>1490</v>
      </c>
      <c r="L15" s="1" t="s">
        <v>1620</v>
      </c>
      <c r="M15" s="1" t="s">
        <v>2784</v>
      </c>
      <c r="N15" s="1" t="s">
        <v>2793</v>
      </c>
      <c r="O15" s="1" t="s">
        <v>2842</v>
      </c>
      <c r="P15" s="1" t="s">
        <v>540</v>
      </c>
      <c r="Q15" s="1" t="s">
        <v>454</v>
      </c>
      <c r="R15" s="24" t="s">
        <v>827</v>
      </c>
    </row>
    <row r="16" spans="1:18" ht="44" thickBot="1" x14ac:dyDescent="0.4">
      <c r="A16" s="3" t="s">
        <v>81</v>
      </c>
      <c r="B16" s="1" t="s">
        <v>2770</v>
      </c>
      <c r="C16" s="1" t="s">
        <v>12</v>
      </c>
      <c r="D16" s="1" t="s">
        <v>1578</v>
      </c>
      <c r="E16" s="1" t="s">
        <v>78</v>
      </c>
      <c r="F16" s="1" t="s">
        <v>15</v>
      </c>
      <c r="G16" s="1" t="s">
        <v>2843</v>
      </c>
      <c r="H16" s="1" t="s">
        <v>928</v>
      </c>
      <c r="I16" s="1" t="s">
        <v>928</v>
      </c>
      <c r="J16" s="1" t="s">
        <v>928</v>
      </c>
      <c r="K16" s="2" t="s">
        <v>1451</v>
      </c>
      <c r="L16" s="1" t="s">
        <v>2844</v>
      </c>
      <c r="M16" s="1" t="s">
        <v>2799</v>
      </c>
      <c r="N16" s="1" t="s">
        <v>2800</v>
      </c>
      <c r="O16" s="1" t="s">
        <v>781</v>
      </c>
      <c r="P16" s="1" t="s">
        <v>546</v>
      </c>
      <c r="Q16" s="1" t="s">
        <v>2863</v>
      </c>
      <c r="R16" s="24" t="s">
        <v>2845</v>
      </c>
    </row>
    <row r="17" spans="1:18" ht="51.5" thickBot="1" x14ac:dyDescent="0.4">
      <c r="A17" s="3" t="s">
        <v>318</v>
      </c>
      <c r="B17" s="1" t="s">
        <v>2770</v>
      </c>
      <c r="C17" s="1" t="s">
        <v>12</v>
      </c>
      <c r="D17" s="1" t="s">
        <v>2846</v>
      </c>
      <c r="E17" s="1" t="s">
        <v>78</v>
      </c>
      <c r="F17" s="1" t="s">
        <v>15</v>
      </c>
      <c r="G17" s="1" t="s">
        <v>321</v>
      </c>
      <c r="H17" s="1" t="s">
        <v>504</v>
      </c>
      <c r="I17" s="2" t="s">
        <v>323</v>
      </c>
      <c r="J17" s="1" t="s">
        <v>928</v>
      </c>
      <c r="K17" s="2" t="s">
        <v>1436</v>
      </c>
      <c r="L17" s="1" t="s">
        <v>2834</v>
      </c>
      <c r="M17" s="1" t="s">
        <v>2775</v>
      </c>
      <c r="N17" s="1" t="s">
        <v>2793</v>
      </c>
      <c r="O17" s="1" t="s">
        <v>1089</v>
      </c>
      <c r="P17" s="1" t="s">
        <v>540</v>
      </c>
      <c r="Q17" s="1" t="s">
        <v>454</v>
      </c>
      <c r="R17" s="24" t="s">
        <v>323</v>
      </c>
    </row>
    <row r="18" spans="1:18" ht="51.5" thickBot="1" x14ac:dyDescent="0.4">
      <c r="A18" s="3" t="s">
        <v>179</v>
      </c>
      <c r="B18" s="1" t="s">
        <v>2770</v>
      </c>
      <c r="C18" s="1" t="s">
        <v>12</v>
      </c>
      <c r="D18" s="1" t="s">
        <v>2847</v>
      </c>
      <c r="E18" s="1" t="s">
        <v>172</v>
      </c>
      <c r="F18" s="1" t="s">
        <v>15</v>
      </c>
      <c r="G18" s="1" t="s">
        <v>2848</v>
      </c>
      <c r="H18" s="1" t="s">
        <v>928</v>
      </c>
      <c r="I18" s="1" t="s">
        <v>928</v>
      </c>
      <c r="J18" s="1" t="s">
        <v>928</v>
      </c>
      <c r="K18" s="2" t="s">
        <v>2849</v>
      </c>
      <c r="L18" s="1" t="s">
        <v>2850</v>
      </c>
      <c r="M18" s="1" t="s">
        <v>2799</v>
      </c>
      <c r="N18" s="1" t="s">
        <v>2800</v>
      </c>
      <c r="O18" s="1" t="s">
        <v>2851</v>
      </c>
      <c r="P18" s="1" t="s">
        <v>546</v>
      </c>
      <c r="Q18" s="1" t="s">
        <v>455</v>
      </c>
      <c r="R18" s="24" t="s">
        <v>2852</v>
      </c>
    </row>
    <row r="19" spans="1:18" ht="44" thickBot="1" x14ac:dyDescent="0.4">
      <c r="A19" s="3" t="s">
        <v>2853</v>
      </c>
      <c r="B19" s="1" t="s">
        <v>2770</v>
      </c>
      <c r="C19" s="1" t="s">
        <v>31</v>
      </c>
      <c r="D19" s="1" t="s">
        <v>1127</v>
      </c>
      <c r="E19" s="1" t="s">
        <v>91</v>
      </c>
      <c r="F19" s="1" t="s">
        <v>15</v>
      </c>
      <c r="G19" s="1" t="s">
        <v>1800</v>
      </c>
      <c r="H19" s="1" t="s">
        <v>1129</v>
      </c>
      <c r="I19" s="2" t="s">
        <v>1776</v>
      </c>
      <c r="J19" s="1" t="s">
        <v>928</v>
      </c>
      <c r="K19" s="2" t="s">
        <v>1504</v>
      </c>
      <c r="L19" s="1" t="s">
        <v>1620</v>
      </c>
      <c r="M19" s="1" t="s">
        <v>2799</v>
      </c>
      <c r="N19" s="1" t="s">
        <v>2800</v>
      </c>
      <c r="O19" s="1" t="s">
        <v>2854</v>
      </c>
      <c r="P19" s="1" t="s">
        <v>546</v>
      </c>
      <c r="Q19" s="1" t="s">
        <v>454</v>
      </c>
      <c r="R19" s="24" t="s">
        <v>1776</v>
      </c>
    </row>
    <row r="20" spans="1:18" ht="44" thickBot="1" x14ac:dyDescent="0.4">
      <c r="A20" s="3" t="s">
        <v>2855</v>
      </c>
      <c r="B20" s="1" t="s">
        <v>2770</v>
      </c>
      <c r="C20" s="1" t="s">
        <v>31</v>
      </c>
      <c r="D20" s="1" t="s">
        <v>1067</v>
      </c>
      <c r="E20" s="1" t="s">
        <v>14</v>
      </c>
      <c r="F20" s="1" t="s">
        <v>15</v>
      </c>
      <c r="G20" s="1" t="s">
        <v>450</v>
      </c>
      <c r="H20" s="1" t="s">
        <v>453</v>
      </c>
      <c r="I20" s="2" t="s">
        <v>452</v>
      </c>
      <c r="J20" s="1" t="s">
        <v>928</v>
      </c>
      <c r="K20" s="2" t="s">
        <v>1496</v>
      </c>
      <c r="L20" s="1" t="s">
        <v>2834</v>
      </c>
      <c r="M20" s="1" t="s">
        <v>2799</v>
      </c>
      <c r="N20" s="1" t="s">
        <v>2800</v>
      </c>
      <c r="O20" s="1" t="s">
        <v>840</v>
      </c>
      <c r="P20" s="1" t="s">
        <v>546</v>
      </c>
      <c r="Q20" s="1" t="s">
        <v>454</v>
      </c>
      <c r="R20" s="24" t="s">
        <v>452</v>
      </c>
    </row>
    <row r="21" spans="1:18" ht="44" thickBot="1" x14ac:dyDescent="0.4">
      <c r="A21" s="3" t="s">
        <v>2856</v>
      </c>
      <c r="B21" s="1" t="s">
        <v>2770</v>
      </c>
      <c r="C21" s="1" t="s">
        <v>25</v>
      </c>
      <c r="D21" s="1" t="s">
        <v>2857</v>
      </c>
      <c r="E21" s="1" t="s">
        <v>229</v>
      </c>
      <c r="F21" s="1" t="s">
        <v>15</v>
      </c>
      <c r="G21" s="1" t="s">
        <v>2858</v>
      </c>
      <c r="H21" s="1" t="s">
        <v>928</v>
      </c>
      <c r="I21" s="2" t="s">
        <v>2859</v>
      </c>
      <c r="J21" s="1" t="s">
        <v>928</v>
      </c>
      <c r="K21" s="1" t="s">
        <v>928</v>
      </c>
      <c r="L21" s="1" t="s">
        <v>1637</v>
      </c>
      <c r="M21" s="1" t="s">
        <v>2775</v>
      </c>
      <c r="N21" s="1" t="s">
        <v>2793</v>
      </c>
      <c r="O21" s="1" t="s">
        <v>1089</v>
      </c>
      <c r="P21" s="1" t="s">
        <v>540</v>
      </c>
      <c r="Q21" s="1" t="s">
        <v>1319</v>
      </c>
      <c r="R21" s="24" t="s">
        <v>2860</v>
      </c>
    </row>
    <row r="22" spans="1:18" ht="51" x14ac:dyDescent="0.35">
      <c r="A22" s="7" t="s">
        <v>2861</v>
      </c>
      <c r="B22" s="8" t="s">
        <v>2770</v>
      </c>
      <c r="C22" s="8" t="s">
        <v>31</v>
      </c>
      <c r="D22" s="8" t="s">
        <v>2862</v>
      </c>
      <c r="E22" s="8" t="s">
        <v>51</v>
      </c>
      <c r="F22" s="8" t="s">
        <v>15</v>
      </c>
      <c r="G22" s="8" t="s">
        <v>2826</v>
      </c>
      <c r="H22" s="8" t="s">
        <v>928</v>
      </c>
      <c r="I22" s="9" t="s">
        <v>2828</v>
      </c>
      <c r="J22" s="8" t="s">
        <v>928</v>
      </c>
      <c r="K22" s="8" t="s">
        <v>928</v>
      </c>
      <c r="L22" s="8" t="s">
        <v>928</v>
      </c>
      <c r="M22" s="8" t="s">
        <v>2775</v>
      </c>
      <c r="N22" s="8" t="s">
        <v>928</v>
      </c>
      <c r="O22" s="8" t="s">
        <v>840</v>
      </c>
      <c r="P22" s="8" t="s">
        <v>2026</v>
      </c>
      <c r="Q22" s="8" t="s">
        <v>1319</v>
      </c>
      <c r="R22" s="25" t="s">
        <v>2828</v>
      </c>
    </row>
    <row r="27" spans="1:18" x14ac:dyDescent="0.35">
      <c r="A27" s="23" t="s">
        <v>1229</v>
      </c>
      <c r="B27" s="23">
        <f>COUNTIF($Q$2:$Q$22,"Yes")</f>
        <v>15</v>
      </c>
    </row>
    <row r="28" spans="1:18" x14ac:dyDescent="0.35">
      <c r="A28" s="23" t="s">
        <v>459</v>
      </c>
      <c r="B28" s="23">
        <f>COUNTIF($G$2:$G$22,"N/A")</f>
        <v>0</v>
      </c>
    </row>
    <row r="29" spans="1:18" x14ac:dyDescent="0.35">
      <c r="A29" s="23" t="s">
        <v>458</v>
      </c>
      <c r="B29" s="23">
        <f>COUNTIF($H$2:$H$22,"N/A")</f>
        <v>9</v>
      </c>
    </row>
    <row r="30" spans="1:18" x14ac:dyDescent="0.35">
      <c r="A30" s="23" t="s">
        <v>457</v>
      </c>
      <c r="B30" s="23">
        <f>COUNTIF($I$2:$I$22,"N/A")</f>
        <v>6</v>
      </c>
    </row>
  </sheetData>
  <hyperlinks>
    <hyperlink ref="I2" r:id="rId1" xr:uid="{807B4529-F6A2-4831-8CD9-C01DFADB8633}"/>
    <hyperlink ref="K2" r:id="rId2" xr:uid="{067D274B-6C96-4DAA-911E-A4259364C985}"/>
    <hyperlink ref="R2" r:id="rId3" xr:uid="{B2655C77-348F-41A4-A819-B39025D6FCB0}"/>
    <hyperlink ref="I3" r:id="rId4" xr:uid="{CEFE9E12-045E-4C4C-82BE-061992B425E4}"/>
    <hyperlink ref="K3" r:id="rId5" xr:uid="{EBC042F7-1DC0-4FAE-9F6A-8EC72ED50C7C}"/>
    <hyperlink ref="R3" r:id="rId6" xr:uid="{A75E150D-487A-43BA-93A6-E2EF3D21FA2C}"/>
    <hyperlink ref="I4" r:id="rId7" xr:uid="{0BB97F92-E825-40C1-BAA3-49D209B5A933}"/>
    <hyperlink ref="K4" r:id="rId8" xr:uid="{233BA781-91D7-46F3-8399-9B4415849063}"/>
    <hyperlink ref="R4" r:id="rId9" xr:uid="{C7F14CC8-AD51-443B-9ABA-341F5B706B27}"/>
    <hyperlink ref="I5" r:id="rId10" xr:uid="{EF8ABD69-AC0F-4DE8-8757-7E12A95514CF}"/>
    <hyperlink ref="K5" r:id="rId11" xr:uid="{38130BD0-8521-4F58-A8F6-31DF63E518E0}"/>
    <hyperlink ref="R5" r:id="rId12" xr:uid="{734E747B-7AFA-4B13-A989-608DBD811F7C}"/>
    <hyperlink ref="K6" r:id="rId13" xr:uid="{2014F24D-AB1C-462E-B924-BF4F24E02F10}"/>
    <hyperlink ref="R6" r:id="rId14" xr:uid="{2E187A06-C3D0-4B95-8D1E-CAE5894EBB48}"/>
    <hyperlink ref="I7" r:id="rId15" xr:uid="{5470C7CD-4C4E-458D-A936-BE6145FA219E}"/>
    <hyperlink ref="K7" r:id="rId16" xr:uid="{AB08AEBF-D646-40B3-AE44-33CEA82C90F4}"/>
    <hyperlink ref="R7" r:id="rId17" xr:uid="{1E661E4A-B14F-4C03-8951-4D5CB7E89FD0}"/>
    <hyperlink ref="I8" r:id="rId18" xr:uid="{54EEF837-015C-4D51-A6C6-F7290D10AFCA}"/>
    <hyperlink ref="K8" r:id="rId19" xr:uid="{9D0D6872-DA07-44C1-92BE-8418C556B86C}"/>
    <hyperlink ref="R8" r:id="rId20" xr:uid="{66BAABA0-99C4-47BD-8528-B313A0F830B2}"/>
    <hyperlink ref="J9" r:id="rId21" xr:uid="{52D7E7BA-E1AB-4ECA-8D07-158A08949357}"/>
    <hyperlink ref="K9" r:id="rId22" xr:uid="{BF4EDA7D-E5D7-4F5B-89F3-EE00999ACB31}"/>
    <hyperlink ref="R9" r:id="rId23" xr:uid="{CA0ACBEA-4964-4D8A-8440-3D2F69321AA1}"/>
    <hyperlink ref="K10" r:id="rId24" xr:uid="{760FB5BA-3BAE-406A-87F1-402892C9E7C7}"/>
    <hyperlink ref="R10" r:id="rId25" xr:uid="{0C607289-5765-4F81-AD38-E082DA09BCFC}"/>
    <hyperlink ref="K11" r:id="rId26" xr:uid="{9590B5F7-9190-45D1-BFC7-22CF8963FEC1}"/>
    <hyperlink ref="R11" r:id="rId27" xr:uid="{E24EB3AA-62CB-45E3-B55A-AD3744CCDE70}"/>
    <hyperlink ref="I12" r:id="rId28" xr:uid="{6F3022CF-0A37-4411-B19E-E49261AE0DBA}"/>
    <hyperlink ref="R12" r:id="rId29" xr:uid="{31507A5E-09C2-470B-B82F-CB9E205B4C11}"/>
    <hyperlink ref="I13" r:id="rId30" xr:uid="{C5E4FADF-3BF0-4143-AB18-A8C5FF1D965E}"/>
    <hyperlink ref="K13" r:id="rId31" xr:uid="{95580C46-62C2-4134-888D-3A9107B58853}"/>
    <hyperlink ref="R13" r:id="rId32" xr:uid="{4FDB27BF-7011-4137-87F3-0C3A47DD7CD8}"/>
    <hyperlink ref="I14" r:id="rId33" xr:uid="{E22C242E-708E-4346-A0A4-ABAD211ADECC}"/>
    <hyperlink ref="K14" r:id="rId34" xr:uid="{07FE2F11-0D0C-44FB-A520-836B710605FB}"/>
    <hyperlink ref="R14" r:id="rId35" xr:uid="{BDEF260A-78D8-4A4C-B1CE-51279D0CC596}"/>
    <hyperlink ref="I15" r:id="rId36" xr:uid="{D99361CD-D940-4B3E-B368-A442A8E221B1}"/>
    <hyperlink ref="K15" r:id="rId37" xr:uid="{24992EA6-6E5D-438C-A224-234BCBE5956D}"/>
    <hyperlink ref="R15" r:id="rId38" xr:uid="{C12836AC-5BD2-430F-9D77-997951F5F39A}"/>
    <hyperlink ref="K16" r:id="rId39" xr:uid="{7155A434-7C03-4605-9EA4-31C0B0C56EEA}"/>
    <hyperlink ref="R16" r:id="rId40" xr:uid="{CF99D587-BB87-4C18-BC47-2094FB1BFF1E}"/>
    <hyperlink ref="I17" r:id="rId41" xr:uid="{9B476921-624C-42E9-9AD6-66BD49F2A10D}"/>
    <hyperlink ref="K17" r:id="rId42" xr:uid="{E190A290-7BC3-4E23-9499-673B70E5FE3B}"/>
    <hyperlink ref="R17" r:id="rId43" xr:uid="{C55C3F8C-479D-4806-BC74-83C3B25F21B1}"/>
    <hyperlink ref="K18" r:id="rId44" xr:uid="{80C32B20-137D-4F66-AF80-BDE4D29F2370}"/>
    <hyperlink ref="R18" r:id="rId45" xr:uid="{5B6172FA-04F7-4AC7-AF8D-6B4A9270FEBD}"/>
    <hyperlink ref="I19" r:id="rId46" xr:uid="{5566FE72-06E4-4A7D-ADC1-B7C3FC4D8017}"/>
    <hyperlink ref="K19" r:id="rId47" xr:uid="{395D9D62-D956-4F96-8A81-CB1891BEEC6B}"/>
    <hyperlink ref="R19" r:id="rId48" xr:uid="{5295B4CA-962F-4509-BC36-4C20D9D2463C}"/>
    <hyperlink ref="I20" r:id="rId49" xr:uid="{EF69B0A8-1D8F-4E2E-8C90-2CDCB2C0E85D}"/>
    <hyperlink ref="K20" r:id="rId50" xr:uid="{38D4FC5E-B19E-46E6-86BE-31C28041F16F}"/>
    <hyperlink ref="R20" r:id="rId51" xr:uid="{A7F14C4A-D94C-4E8A-ADE2-585F49C7F001}"/>
    <hyperlink ref="I21" r:id="rId52" xr:uid="{04D87EFD-2086-47EC-8339-9210931157CE}"/>
    <hyperlink ref="R21" r:id="rId53" xr:uid="{EA40AB89-F4D4-4529-A439-6813230DF5D4}"/>
    <hyperlink ref="I22" r:id="rId54" xr:uid="{7237CA4B-D093-4104-B6A7-F1BB27A55A4C}"/>
    <hyperlink ref="R22" r:id="rId55" xr:uid="{27E1F96D-0815-4288-AA98-B49BA003DFAE}"/>
  </hyperlinks>
  <pageMargins left="0.7" right="0.7" top="0.75" bottom="0.75" header="0.3" footer="0.3"/>
  <tableParts count="1">
    <tablePart r:id="rId5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06A1-D466-4A06-84F9-0A70FD9C8B54}">
  <dimension ref="A1:R31"/>
  <sheetViews>
    <sheetView topLeftCell="A19" workbookViewId="0">
      <selection activeCell="A28" sqref="A28:B31"/>
    </sheetView>
  </sheetViews>
  <sheetFormatPr defaultRowHeight="14.5" x14ac:dyDescent="0.35"/>
  <cols>
    <col min="1" max="1" width="26.1796875" customWidth="1"/>
    <col min="3" max="3" width="14.81640625" customWidth="1"/>
    <col min="4" max="4" width="39.90625" customWidth="1"/>
    <col min="5" max="5" width="14.36328125" customWidth="1"/>
    <col min="6" max="6" width="12.90625" customWidth="1"/>
    <col min="7" max="7" width="16.81640625" customWidth="1"/>
    <col min="8" max="8" width="25.1796875" customWidth="1"/>
    <col min="9" max="9" width="26" customWidth="1"/>
    <col min="10" max="10" width="26.08984375" customWidth="1"/>
    <col min="11" max="11" width="31.54296875" customWidth="1"/>
    <col min="12" max="12" width="27.453125" customWidth="1"/>
    <col min="13" max="13" width="32.1796875" customWidth="1"/>
    <col min="14" max="14" width="28.54296875" customWidth="1"/>
    <col min="15" max="15" width="13" customWidth="1"/>
    <col min="16" max="16" width="27.7265625" customWidth="1"/>
    <col min="17" max="17" width="17.26953125" customWidth="1"/>
    <col min="18" max="18" width="24.26953125" customWidth="1"/>
  </cols>
  <sheetData>
    <row r="1" spans="1:18" ht="15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283</v>
      </c>
      <c r="I1" s="5" t="s">
        <v>485</v>
      </c>
      <c r="J1" s="5" t="s">
        <v>486</v>
      </c>
      <c r="K1" s="1" t="s">
        <v>7</v>
      </c>
      <c r="L1" s="5" t="s">
        <v>487</v>
      </c>
      <c r="M1" s="5" t="s">
        <v>2864</v>
      </c>
      <c r="N1" s="5" t="s">
        <v>2865</v>
      </c>
      <c r="O1" s="5" t="s">
        <v>488</v>
      </c>
      <c r="P1" s="5" t="s">
        <v>489</v>
      </c>
      <c r="Q1" s="5" t="s">
        <v>8</v>
      </c>
      <c r="R1" s="6" t="s">
        <v>9</v>
      </c>
    </row>
    <row r="2" spans="1:18" ht="51.5" thickBot="1" x14ac:dyDescent="0.4">
      <c r="A2" s="3" t="s">
        <v>2866</v>
      </c>
      <c r="B2" s="1" t="s">
        <v>2867</v>
      </c>
      <c r="C2" s="1" t="s">
        <v>2868</v>
      </c>
      <c r="D2" s="1" t="s">
        <v>2869</v>
      </c>
      <c r="E2" s="1" t="s">
        <v>2540</v>
      </c>
      <c r="F2" s="1" t="s">
        <v>15</v>
      </c>
      <c r="G2" s="1" t="s">
        <v>2870</v>
      </c>
      <c r="H2" s="1" t="s">
        <v>2871</v>
      </c>
      <c r="I2" s="2" t="s">
        <v>2872</v>
      </c>
      <c r="J2" s="1" t="s">
        <v>928</v>
      </c>
      <c r="K2" s="2" t="s">
        <v>1497</v>
      </c>
      <c r="L2" s="1" t="s">
        <v>2873</v>
      </c>
      <c r="M2" s="1" t="s">
        <v>2874</v>
      </c>
      <c r="N2" s="1" t="s">
        <v>2875</v>
      </c>
      <c r="O2" s="1" t="s">
        <v>2876</v>
      </c>
      <c r="P2" s="1" t="s">
        <v>2062</v>
      </c>
      <c r="Q2" s="1" t="s">
        <v>454</v>
      </c>
      <c r="R2" s="24" t="s">
        <v>2872</v>
      </c>
    </row>
    <row r="3" spans="1:18" ht="58.5" thickBot="1" x14ac:dyDescent="0.4">
      <c r="A3" s="3" t="s">
        <v>2877</v>
      </c>
      <c r="B3" s="1" t="s">
        <v>2867</v>
      </c>
      <c r="C3" s="1" t="s">
        <v>12</v>
      </c>
      <c r="D3" s="1" t="s">
        <v>2878</v>
      </c>
      <c r="E3" s="1" t="s">
        <v>78</v>
      </c>
      <c r="F3" s="1" t="s">
        <v>15</v>
      </c>
      <c r="G3" s="1" t="s">
        <v>321</v>
      </c>
      <c r="H3" s="1" t="s">
        <v>504</v>
      </c>
      <c r="I3" s="2" t="s">
        <v>2879</v>
      </c>
      <c r="J3" s="1" t="s">
        <v>928</v>
      </c>
      <c r="K3" s="2" t="s">
        <v>3029</v>
      </c>
      <c r="L3" s="1" t="s">
        <v>2880</v>
      </c>
      <c r="M3" s="1" t="s">
        <v>2881</v>
      </c>
      <c r="N3" s="1" t="s">
        <v>2882</v>
      </c>
      <c r="O3" s="1" t="s">
        <v>2883</v>
      </c>
      <c r="P3" s="1" t="s">
        <v>2062</v>
      </c>
      <c r="Q3" s="1" t="s">
        <v>454</v>
      </c>
      <c r="R3" s="24" t="s">
        <v>2879</v>
      </c>
    </row>
    <row r="4" spans="1:18" ht="51.5" thickBot="1" x14ac:dyDescent="0.4">
      <c r="A4" s="3" t="s">
        <v>2884</v>
      </c>
      <c r="B4" s="1" t="s">
        <v>2867</v>
      </c>
      <c r="C4" s="1" t="s">
        <v>2805</v>
      </c>
      <c r="D4" s="1" t="s">
        <v>2885</v>
      </c>
      <c r="E4" s="1" t="s">
        <v>389</v>
      </c>
      <c r="F4" s="1" t="s">
        <v>15</v>
      </c>
      <c r="G4" s="1" t="s">
        <v>2886</v>
      </c>
      <c r="H4" s="1" t="s">
        <v>2887</v>
      </c>
      <c r="I4" s="2" t="s">
        <v>2888</v>
      </c>
      <c r="J4" s="1" t="s">
        <v>2889</v>
      </c>
      <c r="K4" s="2" t="s">
        <v>3030</v>
      </c>
      <c r="L4" s="1" t="s">
        <v>2880</v>
      </c>
      <c r="M4" s="1" t="s">
        <v>2881</v>
      </c>
      <c r="N4" s="1" t="s">
        <v>2890</v>
      </c>
      <c r="O4" s="1" t="s">
        <v>2883</v>
      </c>
      <c r="P4" s="1" t="s">
        <v>2062</v>
      </c>
      <c r="Q4" s="1" t="s">
        <v>454</v>
      </c>
      <c r="R4" s="24" t="s">
        <v>2888</v>
      </c>
    </row>
    <row r="5" spans="1:18" ht="64" thickBot="1" x14ac:dyDescent="0.4">
      <c r="A5" s="3" t="s">
        <v>2891</v>
      </c>
      <c r="B5" s="1" t="s">
        <v>2867</v>
      </c>
      <c r="C5" s="1" t="s">
        <v>2868</v>
      </c>
      <c r="D5" s="1" t="s">
        <v>2892</v>
      </c>
      <c r="E5" s="1" t="s">
        <v>257</v>
      </c>
      <c r="F5" s="1" t="s">
        <v>15</v>
      </c>
      <c r="G5" s="1" t="s">
        <v>2886</v>
      </c>
      <c r="H5" s="1" t="s">
        <v>2887</v>
      </c>
      <c r="I5" s="2" t="s">
        <v>2893</v>
      </c>
      <c r="J5" s="1" t="s">
        <v>2889</v>
      </c>
      <c r="K5" s="2" t="s">
        <v>3031</v>
      </c>
      <c r="L5" s="1" t="s">
        <v>2894</v>
      </c>
      <c r="M5" s="1" t="s">
        <v>2895</v>
      </c>
      <c r="N5" s="1" t="s">
        <v>2896</v>
      </c>
      <c r="O5" s="1" t="s">
        <v>2897</v>
      </c>
      <c r="P5" s="1" t="s">
        <v>2062</v>
      </c>
      <c r="Q5" s="1" t="s">
        <v>454</v>
      </c>
      <c r="R5" s="24" t="s">
        <v>2893</v>
      </c>
    </row>
    <row r="6" spans="1:18" ht="51.5" thickBot="1" x14ac:dyDescent="0.4">
      <c r="A6" s="3" t="s">
        <v>2898</v>
      </c>
      <c r="B6" s="1" t="s">
        <v>2867</v>
      </c>
      <c r="C6" s="1" t="s">
        <v>12</v>
      </c>
      <c r="D6" s="1" t="s">
        <v>2899</v>
      </c>
      <c r="E6" s="1" t="s">
        <v>2900</v>
      </c>
      <c r="F6" s="1" t="s">
        <v>15</v>
      </c>
      <c r="G6" s="1" t="s">
        <v>2901</v>
      </c>
      <c r="H6" s="1" t="s">
        <v>2902</v>
      </c>
      <c r="I6" s="2" t="s">
        <v>2903</v>
      </c>
      <c r="J6" s="1" t="s">
        <v>928</v>
      </c>
      <c r="K6" s="1" t="s">
        <v>928</v>
      </c>
      <c r="L6" s="1" t="s">
        <v>2904</v>
      </c>
      <c r="M6" s="1" t="s">
        <v>2881</v>
      </c>
      <c r="N6" s="1" t="s">
        <v>2905</v>
      </c>
      <c r="O6" s="1" t="s">
        <v>2883</v>
      </c>
      <c r="P6" s="1" t="s">
        <v>2062</v>
      </c>
      <c r="Q6" s="1" t="s">
        <v>454</v>
      </c>
      <c r="R6" s="24" t="s">
        <v>2903</v>
      </c>
    </row>
    <row r="7" spans="1:18" ht="76.5" thickBot="1" x14ac:dyDescent="0.4">
      <c r="A7" s="3" t="s">
        <v>2906</v>
      </c>
      <c r="B7" s="1" t="s">
        <v>2867</v>
      </c>
      <c r="C7" s="1" t="s">
        <v>12</v>
      </c>
      <c r="D7" s="1" t="s">
        <v>2907</v>
      </c>
      <c r="E7" s="1" t="s">
        <v>2908</v>
      </c>
      <c r="F7" s="1" t="s">
        <v>15</v>
      </c>
      <c r="G7" s="1" t="s">
        <v>2909</v>
      </c>
      <c r="H7" s="1" t="s">
        <v>2910</v>
      </c>
      <c r="I7" s="2" t="s">
        <v>2911</v>
      </c>
      <c r="J7" s="1" t="s">
        <v>928</v>
      </c>
      <c r="K7" s="2" t="s">
        <v>3032</v>
      </c>
      <c r="L7" s="1" t="s">
        <v>2912</v>
      </c>
      <c r="M7" s="1" t="s">
        <v>2881</v>
      </c>
      <c r="N7" s="1" t="s">
        <v>2913</v>
      </c>
      <c r="O7" s="1" t="s">
        <v>2883</v>
      </c>
      <c r="P7" s="1" t="s">
        <v>2914</v>
      </c>
      <c r="Q7" s="1" t="s">
        <v>454</v>
      </c>
      <c r="R7" s="24" t="s">
        <v>2911</v>
      </c>
    </row>
    <row r="8" spans="1:18" ht="51.5" thickBot="1" x14ac:dyDescent="0.4">
      <c r="A8" s="3" t="s">
        <v>2915</v>
      </c>
      <c r="B8" s="1" t="s">
        <v>2867</v>
      </c>
      <c r="C8" s="1" t="s">
        <v>2805</v>
      </c>
      <c r="D8" s="1" t="s">
        <v>2916</v>
      </c>
      <c r="E8" s="1" t="s">
        <v>2917</v>
      </c>
      <c r="F8" s="1" t="s">
        <v>15</v>
      </c>
      <c r="G8" s="1" t="s">
        <v>2818</v>
      </c>
      <c r="H8" s="1" t="s">
        <v>2918</v>
      </c>
      <c r="I8" s="2" t="s">
        <v>2819</v>
      </c>
      <c r="J8" s="1" t="s">
        <v>2919</v>
      </c>
      <c r="K8" s="2" t="s">
        <v>2820</v>
      </c>
      <c r="L8" s="1" t="s">
        <v>2920</v>
      </c>
      <c r="M8" s="1" t="s">
        <v>2921</v>
      </c>
      <c r="N8" s="1" t="s">
        <v>2922</v>
      </c>
      <c r="O8" s="1" t="s">
        <v>791</v>
      </c>
      <c r="P8" s="1" t="s">
        <v>2062</v>
      </c>
      <c r="Q8" s="1" t="s">
        <v>454</v>
      </c>
      <c r="R8" s="24" t="s">
        <v>2819</v>
      </c>
    </row>
    <row r="9" spans="1:18" ht="44" thickBot="1" x14ac:dyDescent="0.4">
      <c r="A9" s="3" t="s">
        <v>2923</v>
      </c>
      <c r="B9" s="1" t="s">
        <v>2867</v>
      </c>
      <c r="C9" s="1" t="s">
        <v>12</v>
      </c>
      <c r="D9" s="1" t="s">
        <v>2924</v>
      </c>
      <c r="E9" s="1" t="s">
        <v>2925</v>
      </c>
      <c r="F9" s="1" t="s">
        <v>15</v>
      </c>
      <c r="G9" s="1" t="s">
        <v>2926</v>
      </c>
      <c r="H9" s="1" t="s">
        <v>2927</v>
      </c>
      <c r="I9" s="1" t="s">
        <v>928</v>
      </c>
      <c r="J9" s="1" t="s">
        <v>928</v>
      </c>
      <c r="K9" s="2" t="s">
        <v>3033</v>
      </c>
      <c r="L9" s="1" t="s">
        <v>2929</v>
      </c>
      <c r="M9" s="1" t="s">
        <v>2881</v>
      </c>
      <c r="N9" s="1" t="s">
        <v>2930</v>
      </c>
      <c r="O9" s="1" t="s">
        <v>2931</v>
      </c>
      <c r="P9" s="1" t="s">
        <v>540</v>
      </c>
      <c r="Q9" s="1" t="s">
        <v>454</v>
      </c>
      <c r="R9" s="24" t="s">
        <v>2928</v>
      </c>
    </row>
    <row r="10" spans="1:18" ht="39" thickBot="1" x14ac:dyDescent="0.4">
      <c r="A10" s="3" t="s">
        <v>2932</v>
      </c>
      <c r="B10" s="1" t="s">
        <v>2867</v>
      </c>
      <c r="C10" s="1" t="s">
        <v>2805</v>
      </c>
      <c r="D10" s="1" t="s">
        <v>2933</v>
      </c>
      <c r="E10" s="1" t="s">
        <v>14</v>
      </c>
      <c r="F10" s="1" t="s">
        <v>15</v>
      </c>
      <c r="G10" s="1" t="s">
        <v>2934</v>
      </c>
      <c r="H10" s="1" t="s">
        <v>2887</v>
      </c>
      <c r="I10" s="2" t="s">
        <v>2893</v>
      </c>
      <c r="J10" s="1" t="s">
        <v>2889</v>
      </c>
      <c r="K10" s="1" t="s">
        <v>928</v>
      </c>
      <c r="L10" s="1" t="s">
        <v>2935</v>
      </c>
      <c r="M10" s="1" t="s">
        <v>2936</v>
      </c>
      <c r="N10" s="1" t="s">
        <v>2937</v>
      </c>
      <c r="O10" s="1" t="s">
        <v>2938</v>
      </c>
      <c r="P10" s="1" t="s">
        <v>2787</v>
      </c>
      <c r="Q10" s="1" t="s">
        <v>454</v>
      </c>
      <c r="R10" s="24" t="s">
        <v>2893</v>
      </c>
    </row>
    <row r="11" spans="1:18" ht="44" thickBot="1" x14ac:dyDescent="0.4">
      <c r="A11" s="3" t="s">
        <v>2939</v>
      </c>
      <c r="B11" s="1" t="s">
        <v>2867</v>
      </c>
      <c r="C11" s="1" t="s">
        <v>12</v>
      </c>
      <c r="D11" s="1" t="s">
        <v>2940</v>
      </c>
      <c r="E11" s="1" t="s">
        <v>2941</v>
      </c>
      <c r="F11" s="1" t="s">
        <v>15</v>
      </c>
      <c r="G11" s="1" t="s">
        <v>2942</v>
      </c>
      <c r="H11" s="1" t="s">
        <v>2943</v>
      </c>
      <c r="I11" s="1" t="s">
        <v>928</v>
      </c>
      <c r="J11" s="1" t="s">
        <v>928</v>
      </c>
      <c r="K11" s="2" t="s">
        <v>3034</v>
      </c>
      <c r="L11" s="1" t="s">
        <v>1752</v>
      </c>
      <c r="M11" s="1" t="s">
        <v>2881</v>
      </c>
      <c r="N11" s="1" t="s">
        <v>2905</v>
      </c>
      <c r="O11" s="1" t="s">
        <v>2883</v>
      </c>
      <c r="P11" s="1" t="s">
        <v>2062</v>
      </c>
      <c r="Q11" s="1" t="s">
        <v>454</v>
      </c>
      <c r="R11" s="24" t="s">
        <v>2944</v>
      </c>
    </row>
    <row r="12" spans="1:18" ht="44" thickBot="1" x14ac:dyDescent="0.4">
      <c r="A12" s="3" t="s">
        <v>2945</v>
      </c>
      <c r="B12" s="1" t="s">
        <v>2867</v>
      </c>
      <c r="C12" s="1" t="s">
        <v>25</v>
      </c>
      <c r="D12" s="1" t="s">
        <v>83</v>
      </c>
      <c r="E12" s="1" t="s">
        <v>78</v>
      </c>
      <c r="F12" s="1" t="s">
        <v>15</v>
      </c>
      <c r="G12" s="1" t="s">
        <v>2946</v>
      </c>
      <c r="H12" s="1" t="s">
        <v>928</v>
      </c>
      <c r="I12" s="2" t="s">
        <v>2947</v>
      </c>
      <c r="J12" s="1" t="s">
        <v>928</v>
      </c>
      <c r="K12" s="2" t="s">
        <v>1451</v>
      </c>
      <c r="L12" s="1" t="s">
        <v>2948</v>
      </c>
      <c r="M12" s="1" t="s">
        <v>2881</v>
      </c>
      <c r="N12" s="1" t="s">
        <v>2905</v>
      </c>
      <c r="O12" s="1" t="s">
        <v>2949</v>
      </c>
      <c r="P12" s="1" t="s">
        <v>546</v>
      </c>
      <c r="Q12" s="1" t="s">
        <v>454</v>
      </c>
      <c r="R12" s="24" t="s">
        <v>2947</v>
      </c>
    </row>
    <row r="13" spans="1:18" ht="44" thickBot="1" x14ac:dyDescent="0.4">
      <c r="A13" s="3" t="s">
        <v>2950</v>
      </c>
      <c r="B13" s="1" t="s">
        <v>2867</v>
      </c>
      <c r="C13" s="1" t="s">
        <v>2868</v>
      </c>
      <c r="D13" s="1" t="s">
        <v>2951</v>
      </c>
      <c r="E13" s="1" t="s">
        <v>2952</v>
      </c>
      <c r="F13" s="1" t="s">
        <v>15</v>
      </c>
      <c r="G13" s="1" t="s">
        <v>2953</v>
      </c>
      <c r="H13" s="1" t="s">
        <v>2954</v>
      </c>
      <c r="I13" s="2" t="s">
        <v>2955</v>
      </c>
      <c r="J13" s="1" t="s">
        <v>928</v>
      </c>
      <c r="K13" s="2" t="s">
        <v>3035</v>
      </c>
      <c r="L13" s="1" t="s">
        <v>2956</v>
      </c>
      <c r="M13" s="1" t="s">
        <v>2957</v>
      </c>
      <c r="N13" s="1" t="s">
        <v>2958</v>
      </c>
      <c r="O13" s="1" t="s">
        <v>791</v>
      </c>
      <c r="P13" s="1" t="s">
        <v>2787</v>
      </c>
      <c r="Q13" s="1" t="s">
        <v>454</v>
      </c>
      <c r="R13" s="24" t="s">
        <v>2955</v>
      </c>
    </row>
    <row r="14" spans="1:18" ht="44" thickBot="1" x14ac:dyDescent="0.4">
      <c r="A14" s="3" t="s">
        <v>2959</v>
      </c>
      <c r="B14" s="1" t="s">
        <v>2867</v>
      </c>
      <c r="C14" s="1" t="s">
        <v>25</v>
      </c>
      <c r="D14" s="1" t="s">
        <v>1018</v>
      </c>
      <c r="E14" s="1" t="s">
        <v>151</v>
      </c>
      <c r="F14" s="1" t="s">
        <v>15</v>
      </c>
      <c r="G14" s="1" t="s">
        <v>160</v>
      </c>
      <c r="H14" s="1" t="s">
        <v>474</v>
      </c>
      <c r="I14" s="2" t="s">
        <v>161</v>
      </c>
      <c r="J14" s="1" t="s">
        <v>928</v>
      </c>
      <c r="K14" s="2" t="s">
        <v>1461</v>
      </c>
      <c r="L14" s="1" t="s">
        <v>2948</v>
      </c>
      <c r="M14" s="1" t="s">
        <v>2881</v>
      </c>
      <c r="N14" s="1" t="s">
        <v>2905</v>
      </c>
      <c r="O14" s="1" t="s">
        <v>1286</v>
      </c>
      <c r="P14" s="1" t="s">
        <v>546</v>
      </c>
      <c r="Q14" s="1" t="s">
        <v>454</v>
      </c>
      <c r="R14" s="24" t="s">
        <v>161</v>
      </c>
    </row>
    <row r="15" spans="1:18" ht="44" thickBot="1" x14ac:dyDescent="0.4">
      <c r="A15" s="3" t="s">
        <v>2960</v>
      </c>
      <c r="B15" s="1" t="s">
        <v>2867</v>
      </c>
      <c r="C15" s="1" t="s">
        <v>2805</v>
      </c>
      <c r="D15" s="1" t="s">
        <v>2961</v>
      </c>
      <c r="E15" s="1" t="s">
        <v>2962</v>
      </c>
      <c r="F15" s="1" t="s">
        <v>15</v>
      </c>
      <c r="G15" s="1" t="s">
        <v>2963</v>
      </c>
      <c r="H15" s="1" t="s">
        <v>2964</v>
      </c>
      <c r="I15" s="1" t="s">
        <v>928</v>
      </c>
      <c r="J15" s="1" t="s">
        <v>928</v>
      </c>
      <c r="K15" s="2" t="s">
        <v>3036</v>
      </c>
      <c r="L15" s="1" t="s">
        <v>2966</v>
      </c>
      <c r="M15" s="1" t="s">
        <v>2967</v>
      </c>
      <c r="N15" s="1" t="s">
        <v>2968</v>
      </c>
      <c r="O15" s="1" t="s">
        <v>791</v>
      </c>
      <c r="P15" s="1" t="s">
        <v>2969</v>
      </c>
      <c r="Q15" s="1" t="s">
        <v>454</v>
      </c>
      <c r="R15" s="24" t="s">
        <v>2965</v>
      </c>
    </row>
    <row r="16" spans="1:18" ht="44" thickBot="1" x14ac:dyDescent="0.4">
      <c r="A16" s="3" t="s">
        <v>2970</v>
      </c>
      <c r="B16" s="1" t="s">
        <v>2867</v>
      </c>
      <c r="C16" s="1" t="s">
        <v>25</v>
      </c>
      <c r="D16" s="1" t="s">
        <v>2971</v>
      </c>
      <c r="E16" s="1" t="s">
        <v>151</v>
      </c>
      <c r="F16" s="1" t="s">
        <v>15</v>
      </c>
      <c r="G16" s="1" t="s">
        <v>2886</v>
      </c>
      <c r="H16" s="1" t="s">
        <v>2972</v>
      </c>
      <c r="I16" s="2" t="s">
        <v>2973</v>
      </c>
      <c r="J16" s="1" t="s">
        <v>928</v>
      </c>
      <c r="K16" s="1" t="s">
        <v>928</v>
      </c>
      <c r="L16" s="1" t="s">
        <v>2894</v>
      </c>
      <c r="M16" s="1" t="s">
        <v>2974</v>
      </c>
      <c r="N16" s="1" t="s">
        <v>2975</v>
      </c>
      <c r="O16" s="1" t="s">
        <v>2976</v>
      </c>
      <c r="P16" s="1" t="s">
        <v>546</v>
      </c>
      <c r="Q16" s="1" t="s">
        <v>455</v>
      </c>
      <c r="R16" s="24" t="s">
        <v>2973</v>
      </c>
    </row>
    <row r="17" spans="1:18" ht="87.5" thickBot="1" x14ac:dyDescent="0.4">
      <c r="A17" s="3" t="s">
        <v>2977</v>
      </c>
      <c r="B17" s="1" t="s">
        <v>2867</v>
      </c>
      <c r="C17" s="1" t="s">
        <v>25</v>
      </c>
      <c r="D17" s="1" t="s">
        <v>2978</v>
      </c>
      <c r="E17" s="1" t="s">
        <v>796</v>
      </c>
      <c r="F17" s="1" t="s">
        <v>15</v>
      </c>
      <c r="G17" s="1" t="s">
        <v>2979</v>
      </c>
      <c r="H17" s="1" t="s">
        <v>2980</v>
      </c>
      <c r="I17" s="2" t="s">
        <v>2981</v>
      </c>
      <c r="J17" s="1" t="s">
        <v>928</v>
      </c>
      <c r="K17" s="2" t="s">
        <v>3037</v>
      </c>
      <c r="L17" s="1" t="s">
        <v>1752</v>
      </c>
      <c r="M17" s="1" t="s">
        <v>2881</v>
      </c>
      <c r="N17" s="1" t="s">
        <v>2882</v>
      </c>
      <c r="O17" s="1" t="s">
        <v>2982</v>
      </c>
      <c r="P17" s="1" t="s">
        <v>546</v>
      </c>
      <c r="Q17" s="1" t="s">
        <v>455</v>
      </c>
      <c r="R17" s="27" t="s">
        <v>2336</v>
      </c>
    </row>
    <row r="18" spans="1:18" ht="44" thickBot="1" x14ac:dyDescent="0.4">
      <c r="A18" s="3" t="s">
        <v>2983</v>
      </c>
      <c r="B18" s="1" t="s">
        <v>2867</v>
      </c>
      <c r="C18" s="1" t="s">
        <v>12</v>
      </c>
      <c r="D18" s="1" t="s">
        <v>2984</v>
      </c>
      <c r="E18" s="1" t="s">
        <v>117</v>
      </c>
      <c r="F18" s="1" t="s">
        <v>15</v>
      </c>
      <c r="G18" s="1" t="s">
        <v>2985</v>
      </c>
      <c r="H18" s="1" t="s">
        <v>2986</v>
      </c>
      <c r="I18" s="2" t="s">
        <v>2987</v>
      </c>
      <c r="J18" s="1" t="s">
        <v>928</v>
      </c>
      <c r="K18" s="2" t="s">
        <v>3038</v>
      </c>
      <c r="L18" s="1" t="s">
        <v>2988</v>
      </c>
      <c r="M18" s="1" t="s">
        <v>2881</v>
      </c>
      <c r="N18" s="1" t="s">
        <v>2905</v>
      </c>
      <c r="O18" s="1" t="s">
        <v>2989</v>
      </c>
      <c r="P18" s="1" t="s">
        <v>2990</v>
      </c>
      <c r="Q18" s="1" t="s">
        <v>454</v>
      </c>
      <c r="R18" s="24" t="s">
        <v>2991</v>
      </c>
    </row>
    <row r="19" spans="1:18" ht="44" thickBot="1" x14ac:dyDescent="0.4">
      <c r="A19" s="3" t="s">
        <v>2992</v>
      </c>
      <c r="B19" s="1" t="s">
        <v>2867</v>
      </c>
      <c r="C19" s="1" t="s">
        <v>12</v>
      </c>
      <c r="D19" s="1" t="s">
        <v>2993</v>
      </c>
      <c r="E19" s="1" t="s">
        <v>122</v>
      </c>
      <c r="F19" s="1" t="s">
        <v>15</v>
      </c>
      <c r="G19" s="1" t="s">
        <v>2994</v>
      </c>
      <c r="H19" s="1" t="s">
        <v>2995</v>
      </c>
      <c r="I19" s="2" t="s">
        <v>2996</v>
      </c>
      <c r="J19" s="1" t="s">
        <v>928</v>
      </c>
      <c r="K19" s="2" t="s">
        <v>3039</v>
      </c>
      <c r="L19" s="1" t="s">
        <v>2997</v>
      </c>
      <c r="M19" s="1" t="s">
        <v>2881</v>
      </c>
      <c r="N19" s="1" t="s">
        <v>2998</v>
      </c>
      <c r="O19" s="1" t="s">
        <v>2999</v>
      </c>
      <c r="P19" s="1" t="s">
        <v>546</v>
      </c>
      <c r="Q19" s="1" t="s">
        <v>454</v>
      </c>
      <c r="R19" s="24" t="s">
        <v>2996</v>
      </c>
    </row>
    <row r="20" spans="1:18" ht="39" thickBot="1" x14ac:dyDescent="0.4">
      <c r="A20" s="3" t="s">
        <v>3000</v>
      </c>
      <c r="B20" s="1" t="s">
        <v>2867</v>
      </c>
      <c r="C20" s="1" t="s">
        <v>25</v>
      </c>
      <c r="D20" s="1" t="s">
        <v>3001</v>
      </c>
      <c r="E20" s="1" t="s">
        <v>172</v>
      </c>
      <c r="F20" s="1" t="s">
        <v>15</v>
      </c>
      <c r="G20" s="1" t="s">
        <v>928</v>
      </c>
      <c r="H20" s="1" t="s">
        <v>928</v>
      </c>
      <c r="I20" s="1" t="s">
        <v>928</v>
      </c>
      <c r="J20" s="1" t="s">
        <v>928</v>
      </c>
      <c r="K20" s="1" t="s">
        <v>928</v>
      </c>
      <c r="L20" s="1" t="s">
        <v>3002</v>
      </c>
      <c r="M20" s="1" t="s">
        <v>3003</v>
      </c>
      <c r="N20" s="1" t="s">
        <v>3004</v>
      </c>
      <c r="O20" s="1" t="s">
        <v>3005</v>
      </c>
      <c r="P20" s="1" t="s">
        <v>3006</v>
      </c>
      <c r="Q20" s="1" t="s">
        <v>3041</v>
      </c>
      <c r="R20" s="27" t="s">
        <v>2336</v>
      </c>
    </row>
    <row r="21" spans="1:18" ht="39" thickBot="1" x14ac:dyDescent="0.4">
      <c r="A21" s="3" t="s">
        <v>3007</v>
      </c>
      <c r="B21" s="1" t="s">
        <v>2867</v>
      </c>
      <c r="C21" s="1" t="s">
        <v>25</v>
      </c>
      <c r="D21" s="1" t="s">
        <v>3008</v>
      </c>
      <c r="E21" s="1" t="s">
        <v>257</v>
      </c>
      <c r="F21" s="1" t="s">
        <v>15</v>
      </c>
      <c r="G21" s="1" t="s">
        <v>928</v>
      </c>
      <c r="H21" s="1" t="s">
        <v>928</v>
      </c>
      <c r="I21" s="1" t="s">
        <v>928</v>
      </c>
      <c r="J21" s="1" t="s">
        <v>928</v>
      </c>
      <c r="K21" s="1" t="s">
        <v>928</v>
      </c>
      <c r="L21" s="1" t="s">
        <v>3009</v>
      </c>
      <c r="M21" s="1" t="s">
        <v>2881</v>
      </c>
      <c r="N21" s="1" t="s">
        <v>3010</v>
      </c>
      <c r="O21" s="1" t="s">
        <v>3011</v>
      </c>
      <c r="P21" s="1" t="s">
        <v>546</v>
      </c>
      <c r="Q21" s="1" t="s">
        <v>455</v>
      </c>
      <c r="R21" s="27" t="s">
        <v>2336</v>
      </c>
    </row>
    <row r="22" spans="1:18" ht="44" thickBot="1" x14ac:dyDescent="0.4">
      <c r="A22" s="3" t="s">
        <v>3012</v>
      </c>
      <c r="B22" s="1" t="s">
        <v>2867</v>
      </c>
      <c r="C22" s="1" t="s">
        <v>2805</v>
      </c>
      <c r="D22" s="1" t="s">
        <v>3013</v>
      </c>
      <c r="E22" s="1" t="s">
        <v>78</v>
      </c>
      <c r="F22" s="1" t="s">
        <v>15</v>
      </c>
      <c r="G22" s="1" t="s">
        <v>3014</v>
      </c>
      <c r="H22" s="1" t="s">
        <v>3015</v>
      </c>
      <c r="I22" s="1" t="s">
        <v>928</v>
      </c>
      <c r="J22" s="1" t="s">
        <v>928</v>
      </c>
      <c r="K22" s="2" t="s">
        <v>3040</v>
      </c>
      <c r="L22" s="1" t="s">
        <v>3017</v>
      </c>
      <c r="M22" s="1" t="s">
        <v>3018</v>
      </c>
      <c r="N22" s="1" t="s">
        <v>3019</v>
      </c>
      <c r="O22" s="1" t="s">
        <v>840</v>
      </c>
      <c r="P22" s="1" t="s">
        <v>3020</v>
      </c>
      <c r="Q22" s="1" t="s">
        <v>454</v>
      </c>
      <c r="R22" s="24" t="s">
        <v>3016</v>
      </c>
    </row>
    <row r="23" spans="1:18" ht="44" thickBot="1" x14ac:dyDescent="0.4">
      <c r="A23" s="7" t="s">
        <v>3021</v>
      </c>
      <c r="B23" s="8" t="s">
        <v>2867</v>
      </c>
      <c r="C23" s="8" t="s">
        <v>2868</v>
      </c>
      <c r="D23" s="8" t="s">
        <v>3022</v>
      </c>
      <c r="E23" s="8" t="s">
        <v>2540</v>
      </c>
      <c r="F23" s="8" t="s">
        <v>15</v>
      </c>
      <c r="G23" s="8" t="s">
        <v>3023</v>
      </c>
      <c r="H23" s="8" t="s">
        <v>3024</v>
      </c>
      <c r="I23" s="9" t="s">
        <v>3025</v>
      </c>
      <c r="J23" s="8" t="s">
        <v>928</v>
      </c>
      <c r="K23" s="2" t="s">
        <v>1497</v>
      </c>
      <c r="L23" s="8" t="s">
        <v>2894</v>
      </c>
      <c r="M23" s="8" t="s">
        <v>3026</v>
      </c>
      <c r="N23" s="8" t="s">
        <v>3027</v>
      </c>
      <c r="O23" s="8" t="s">
        <v>840</v>
      </c>
      <c r="P23" s="8" t="s">
        <v>3028</v>
      </c>
      <c r="Q23" s="8" t="s">
        <v>454</v>
      </c>
      <c r="R23" s="25" t="s">
        <v>3025</v>
      </c>
    </row>
    <row r="28" spans="1:18" x14ac:dyDescent="0.35">
      <c r="A28" s="23" t="s">
        <v>1229</v>
      </c>
      <c r="B28" s="23">
        <f>COUNTIF($Q$2:$Q$23,"Yes")</f>
        <v>18</v>
      </c>
    </row>
    <row r="29" spans="1:18" x14ac:dyDescent="0.35">
      <c r="A29" s="23" t="s">
        <v>459</v>
      </c>
      <c r="B29" s="23">
        <f>COUNTIF($G$2:$G$23,"N/A")</f>
        <v>2</v>
      </c>
    </row>
    <row r="30" spans="1:18" x14ac:dyDescent="0.35">
      <c r="A30" s="23" t="s">
        <v>458</v>
      </c>
      <c r="B30" s="23">
        <f>COUNTIF($H$2:$H$23,"N/A")</f>
        <v>3</v>
      </c>
    </row>
    <row r="31" spans="1:18" x14ac:dyDescent="0.35">
      <c r="A31" s="23" t="s">
        <v>457</v>
      </c>
      <c r="B31" s="23">
        <f>COUNTIF($I$2:$I$23,"N/A")</f>
        <v>6</v>
      </c>
    </row>
  </sheetData>
  <hyperlinks>
    <hyperlink ref="I2" r:id="rId1" xr:uid="{499960C0-D7A8-4C9E-82B0-E401AAE0DD18}"/>
    <hyperlink ref="R2" r:id="rId2" xr:uid="{F46F6ED7-DABB-4999-B9FD-F0D6DC0D7C09}"/>
    <hyperlink ref="I3" r:id="rId3" xr:uid="{8A67576C-FB3D-469F-974B-4007F9222D7E}"/>
    <hyperlink ref="R3" r:id="rId4" xr:uid="{A4327595-36A2-408D-B588-37976C9EEE2B}"/>
    <hyperlink ref="I4" r:id="rId5" xr:uid="{16DC2207-5FC4-4B29-B2DD-1BB7396EF251}"/>
    <hyperlink ref="R4" r:id="rId6" xr:uid="{33D84694-B81B-4500-A404-932B03C1D46C}"/>
    <hyperlink ref="I5" r:id="rId7" xr:uid="{3F9E189A-C4E6-4162-858A-21D481A7A40A}"/>
    <hyperlink ref="R5" r:id="rId8" xr:uid="{9820F460-7C6A-46A3-9C39-2E5277C6B7FA}"/>
    <hyperlink ref="I6" r:id="rId9" xr:uid="{88D1C6D0-1D10-4131-A1F4-65CB9727F1DD}"/>
    <hyperlink ref="R6" r:id="rId10" xr:uid="{1BC4207B-CE37-4A5B-8A99-9D18F1241F71}"/>
    <hyperlink ref="I7" r:id="rId11" xr:uid="{9337252B-380E-4C6D-A15F-41144518F81E}"/>
    <hyperlink ref="R7" r:id="rId12" xr:uid="{617D7ABE-B8BE-4AF6-BCB9-0887BB0F83FB}"/>
    <hyperlink ref="I8" r:id="rId13" xr:uid="{791B8776-A738-4F79-8114-CCE1654A0F69}"/>
    <hyperlink ref="R8" r:id="rId14" xr:uid="{2EDC946B-5A0D-4BF7-AD64-D835E9DB8F92}"/>
    <hyperlink ref="R9" r:id="rId15" xr:uid="{CB5A3984-86F7-4B58-9CBD-FA45C3954F80}"/>
    <hyperlink ref="I10" r:id="rId16" xr:uid="{35E7D6D1-F4D8-4EAF-B838-73C36BF66A10}"/>
    <hyperlink ref="R10" r:id="rId17" xr:uid="{23EF04FF-2BF1-4E63-BC83-4DD197E2F68F}"/>
    <hyperlink ref="R11" r:id="rId18" xr:uid="{43434DAA-A61C-4B8D-A22F-206A86226CE9}"/>
    <hyperlink ref="I12" r:id="rId19" xr:uid="{474345F6-CA32-4465-A613-DCB462C729ED}"/>
    <hyperlink ref="R12" r:id="rId20" xr:uid="{1CD5F2E9-1629-4267-9911-1A0307E5E4E2}"/>
    <hyperlink ref="I13" r:id="rId21" xr:uid="{4001C25F-CD97-4662-A534-4228D369103D}"/>
    <hyperlink ref="R13" r:id="rId22" xr:uid="{80088DB9-A42D-4D71-A246-97FD46C3EBF5}"/>
    <hyperlink ref="I14" r:id="rId23" xr:uid="{5447156F-1720-4CF9-B03E-DFC301D3354C}"/>
    <hyperlink ref="R14" r:id="rId24" xr:uid="{D7644E56-E629-4724-B78C-52F98E755A9D}"/>
    <hyperlink ref="R15" r:id="rId25" xr:uid="{59A4C1DE-ADE8-4922-A510-EFB3CD2048EE}"/>
    <hyperlink ref="I16" r:id="rId26" xr:uid="{B3F36B75-25BC-4E24-9896-BB96C90CA4DE}"/>
    <hyperlink ref="R16" r:id="rId27" xr:uid="{BFDE132C-DA9E-4C61-938E-CE75CFC21D1D}"/>
    <hyperlink ref="I17" r:id="rId28" xr:uid="{273FE592-57B7-4C05-92C7-4C37F753247C}"/>
    <hyperlink ref="I18" r:id="rId29" xr:uid="{98FD7414-8F74-477B-9E49-D79731B1933D}"/>
    <hyperlink ref="R18" r:id="rId30" xr:uid="{93C1FF96-354D-4FA1-B7BD-8B51A6309AD3}"/>
    <hyperlink ref="I19" r:id="rId31" xr:uid="{4C393931-9833-44D8-A016-3204FE3C6D4C}"/>
    <hyperlink ref="R19" r:id="rId32" xr:uid="{F7FAC62E-0E4E-4DE5-A029-43E65AA6E149}"/>
    <hyperlink ref="R22" r:id="rId33" xr:uid="{BF6A99C0-DABE-481A-AA98-94D4F7617827}"/>
    <hyperlink ref="I23" r:id="rId34" xr:uid="{DC74AE33-B2F0-4E85-AE8C-08E71E4FF9AA}"/>
    <hyperlink ref="R23" r:id="rId35" xr:uid="{93B0327A-AD94-44AB-8009-003CE2607C50}"/>
    <hyperlink ref="K2" r:id="rId36" xr:uid="{A50E628C-261F-49BC-BCC4-30C562075027}"/>
    <hyperlink ref="K3" r:id="rId37" xr:uid="{E7B60DC7-2E20-4FF0-A025-47A297CD0E21}"/>
    <hyperlink ref="K4" r:id="rId38" xr:uid="{B75234E6-4E79-42A4-AED3-27BB5947540B}"/>
    <hyperlink ref="K5" r:id="rId39" xr:uid="{E731A871-9AFD-462E-9930-A3B92172B508}"/>
    <hyperlink ref="K7" r:id="rId40" xr:uid="{A209094C-4D49-4B69-8F0B-E1C7B04D5A69}"/>
    <hyperlink ref="K8" r:id="rId41" xr:uid="{CB3864D9-CD52-42F9-B9BD-63BF55C60C82}"/>
    <hyperlink ref="K9" r:id="rId42" xr:uid="{6A64413E-C92C-4EB5-9FC7-DC6C469A07DB}"/>
    <hyperlink ref="K11" r:id="rId43" xr:uid="{5A5EE0FA-0DF8-4183-B665-3D5B4E1C5EAB}"/>
    <hyperlink ref="K12" r:id="rId44" xr:uid="{BC760DDA-54EF-45BD-BE48-FDEA86B51C6A}"/>
    <hyperlink ref="K13" r:id="rId45" xr:uid="{E1DC70A2-67BD-448C-9E4F-D2406CBE1C2B}"/>
    <hyperlink ref="K14" r:id="rId46" xr:uid="{0D59BD2E-C90C-40EF-B97B-7A1E914B0A25}"/>
    <hyperlink ref="K15" r:id="rId47" xr:uid="{E376C014-BD0F-4A23-A7D4-89311CC92630}"/>
    <hyperlink ref="K17" r:id="rId48" xr:uid="{DB051AF2-119D-443A-B3F2-9DEA41DA22F9}"/>
    <hyperlink ref="K18" r:id="rId49" xr:uid="{DA77780A-8B63-43FD-A6A8-184E02B97F7C}"/>
    <hyperlink ref="K19" r:id="rId50" xr:uid="{FBAF7568-A80C-40F4-A463-09C08FD6E8B3}"/>
    <hyperlink ref="K22" r:id="rId51" xr:uid="{B15387D1-257C-4818-80B6-E1B29D506E87}"/>
    <hyperlink ref="K23" r:id="rId52" xr:uid="{5EE1D038-8A7A-4441-9EB5-8381DFE4E06C}"/>
  </hyperlinks>
  <pageMargins left="0.7" right="0.7" top="0.75" bottom="0.75" header="0.3" footer="0.3"/>
  <tableParts count="1">
    <tablePart r:id="rId5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F72C-87A4-4F6D-B6BB-0C5C27050F4A}">
  <dimension ref="A1:R58"/>
  <sheetViews>
    <sheetView topLeftCell="A7" workbookViewId="0">
      <selection activeCell="B59" sqref="B59"/>
    </sheetView>
  </sheetViews>
  <sheetFormatPr defaultRowHeight="14.5" x14ac:dyDescent="0.35"/>
  <cols>
    <col min="1" max="1" width="26.36328125" customWidth="1"/>
    <col min="2" max="2" width="11.1796875" customWidth="1"/>
    <col min="3" max="3" width="20" customWidth="1"/>
    <col min="4" max="4" width="42.7265625" customWidth="1"/>
    <col min="5" max="5" width="14.36328125" customWidth="1"/>
    <col min="6" max="6" width="11.1796875" customWidth="1"/>
    <col min="7" max="7" width="15.81640625" customWidth="1"/>
    <col min="8" max="9" width="24.6328125" customWidth="1"/>
    <col min="10" max="10" width="26.26953125" customWidth="1"/>
    <col min="11" max="11" width="29.08984375" customWidth="1"/>
    <col min="12" max="12" width="23.7265625" customWidth="1"/>
    <col min="13" max="13" width="16.90625" customWidth="1"/>
    <col min="14" max="14" width="18.453125" customWidth="1"/>
    <col min="15" max="15" width="18.08984375" customWidth="1"/>
    <col min="16" max="16" width="27.08984375" customWidth="1"/>
    <col min="17" max="17" width="17.26953125" customWidth="1"/>
    <col min="18" max="18" width="26.6328125" customWidth="1"/>
  </cols>
  <sheetData>
    <row r="1" spans="1:18" ht="15" thickBot="1" x14ac:dyDescent="0.4">
      <c r="A1" s="4" t="s">
        <v>3578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283</v>
      </c>
      <c r="I1" s="5" t="s">
        <v>485</v>
      </c>
      <c r="J1" s="5" t="s">
        <v>486</v>
      </c>
      <c r="K1" s="5" t="s">
        <v>7</v>
      </c>
      <c r="L1" s="5" t="s">
        <v>487</v>
      </c>
      <c r="M1" s="5" t="s">
        <v>1230</v>
      </c>
      <c r="N1" s="5" t="s">
        <v>1231</v>
      </c>
      <c r="O1" s="5" t="s">
        <v>488</v>
      </c>
      <c r="P1" s="5" t="s">
        <v>489</v>
      </c>
      <c r="Q1" s="5" t="s">
        <v>8</v>
      </c>
      <c r="R1" s="6" t="s">
        <v>9</v>
      </c>
    </row>
    <row r="2" spans="1:18" ht="58.5" thickBot="1" x14ac:dyDescent="0.4">
      <c r="A2" s="3" t="s">
        <v>1232</v>
      </c>
      <c r="B2" s="1" t="s">
        <v>3042</v>
      </c>
      <c r="C2" s="1" t="s">
        <v>3043</v>
      </c>
      <c r="D2" s="1" t="s">
        <v>3044</v>
      </c>
      <c r="E2" s="1" t="s">
        <v>14</v>
      </c>
      <c r="F2" s="1" t="s">
        <v>15</v>
      </c>
      <c r="G2" s="1" t="s">
        <v>3045</v>
      </c>
      <c r="H2" s="1" t="s">
        <v>3046</v>
      </c>
      <c r="I2" s="2" t="s">
        <v>1237</v>
      </c>
      <c r="J2" s="2" t="s">
        <v>3047</v>
      </c>
      <c r="K2" s="2" t="s">
        <v>3048</v>
      </c>
      <c r="L2" s="1" t="s">
        <v>3049</v>
      </c>
      <c r="M2" s="1" t="s">
        <v>3050</v>
      </c>
      <c r="N2" s="1" t="s">
        <v>3051</v>
      </c>
      <c r="O2" s="1" t="s">
        <v>3052</v>
      </c>
      <c r="P2" s="1" t="s">
        <v>3053</v>
      </c>
      <c r="Q2" s="1" t="s">
        <v>454</v>
      </c>
      <c r="R2" s="57" t="s">
        <v>3054</v>
      </c>
    </row>
    <row r="3" spans="1:18" ht="58.5" thickBot="1" x14ac:dyDescent="0.4">
      <c r="A3" s="3" t="s">
        <v>149</v>
      </c>
      <c r="B3" s="1" t="s">
        <v>3042</v>
      </c>
      <c r="C3" s="1" t="s">
        <v>3055</v>
      </c>
      <c r="D3" s="1" t="s">
        <v>3056</v>
      </c>
      <c r="E3" s="1" t="s">
        <v>3057</v>
      </c>
      <c r="F3" s="1" t="s">
        <v>15</v>
      </c>
      <c r="G3" s="1" t="s">
        <v>3058</v>
      </c>
      <c r="H3" s="1" t="s">
        <v>3059</v>
      </c>
      <c r="I3" s="2" t="s">
        <v>153</v>
      </c>
      <c r="J3" s="2" t="s">
        <v>3060</v>
      </c>
      <c r="K3" s="2" t="s">
        <v>3061</v>
      </c>
      <c r="L3" s="1" t="s">
        <v>3062</v>
      </c>
      <c r="M3" s="1" t="s">
        <v>3063</v>
      </c>
      <c r="N3" s="1" t="s">
        <v>3064</v>
      </c>
      <c r="O3" s="1" t="s">
        <v>3065</v>
      </c>
      <c r="P3" s="1" t="s">
        <v>3066</v>
      </c>
      <c r="Q3" s="1" t="s">
        <v>454</v>
      </c>
      <c r="R3" s="57" t="s">
        <v>3067</v>
      </c>
    </row>
    <row r="4" spans="1:18" ht="58.5" thickBot="1" x14ac:dyDescent="0.4">
      <c r="A4" s="3" t="s">
        <v>3069</v>
      </c>
      <c r="B4" s="1" t="s">
        <v>3042</v>
      </c>
      <c r="C4" s="1" t="s">
        <v>3070</v>
      </c>
      <c r="D4" s="1" t="s">
        <v>3071</v>
      </c>
      <c r="E4" s="1" t="s">
        <v>3072</v>
      </c>
      <c r="F4" s="1" t="s">
        <v>15</v>
      </c>
      <c r="G4" s="1" t="s">
        <v>3073</v>
      </c>
      <c r="H4" s="1" t="s">
        <v>3074</v>
      </c>
      <c r="I4" s="2" t="s">
        <v>1262</v>
      </c>
      <c r="J4" s="2" t="s">
        <v>3075</v>
      </c>
      <c r="K4" s="2" t="s">
        <v>3076</v>
      </c>
      <c r="L4" s="1" t="s">
        <v>3077</v>
      </c>
      <c r="M4" s="1" t="s">
        <v>3078</v>
      </c>
      <c r="N4" s="1" t="s">
        <v>3079</v>
      </c>
      <c r="O4" s="1" t="s">
        <v>3080</v>
      </c>
      <c r="P4" s="1" t="s">
        <v>3081</v>
      </c>
      <c r="Q4" s="1" t="s">
        <v>454</v>
      </c>
      <c r="R4" s="57" t="s">
        <v>1262</v>
      </c>
    </row>
    <row r="5" spans="1:18" ht="58.5" thickBot="1" x14ac:dyDescent="0.4">
      <c r="A5" s="3" t="s">
        <v>318</v>
      </c>
      <c r="B5" s="1" t="s">
        <v>3042</v>
      </c>
      <c r="C5" s="1" t="s">
        <v>3082</v>
      </c>
      <c r="D5" s="1" t="s">
        <v>3083</v>
      </c>
      <c r="E5" s="1" t="s">
        <v>3084</v>
      </c>
      <c r="F5" s="1" t="s">
        <v>15</v>
      </c>
      <c r="G5" s="1" t="s">
        <v>3085</v>
      </c>
      <c r="H5" s="1" t="s">
        <v>504</v>
      </c>
      <c r="I5" s="2" t="s">
        <v>323</v>
      </c>
      <c r="J5" s="2" t="s">
        <v>3086</v>
      </c>
      <c r="K5" s="2" t="s">
        <v>3087</v>
      </c>
      <c r="L5" s="1" t="s">
        <v>3088</v>
      </c>
      <c r="M5" s="1" t="s">
        <v>3089</v>
      </c>
      <c r="N5" s="1" t="s">
        <v>3090</v>
      </c>
      <c r="O5" s="1" t="s">
        <v>3091</v>
      </c>
      <c r="P5" s="1" t="s">
        <v>3092</v>
      </c>
      <c r="Q5" s="1" t="s">
        <v>454</v>
      </c>
      <c r="R5" s="57" t="s">
        <v>323</v>
      </c>
    </row>
    <row r="6" spans="1:18" ht="58.5" thickBot="1" x14ac:dyDescent="0.4">
      <c r="A6" s="3" t="s">
        <v>1264</v>
      </c>
      <c r="B6" s="1" t="s">
        <v>3042</v>
      </c>
      <c r="C6" s="1" t="s">
        <v>3093</v>
      </c>
      <c r="D6" s="1" t="s">
        <v>3094</v>
      </c>
      <c r="E6" s="1" t="s">
        <v>3095</v>
      </c>
      <c r="F6" s="1" t="s">
        <v>15</v>
      </c>
      <c r="G6" s="1" t="s">
        <v>3096</v>
      </c>
      <c r="H6" s="1" t="s">
        <v>3097</v>
      </c>
      <c r="I6" s="2" t="s">
        <v>1268</v>
      </c>
      <c r="J6" s="2" t="s">
        <v>3098</v>
      </c>
      <c r="K6" s="2" t="s">
        <v>3099</v>
      </c>
      <c r="L6" s="1" t="s">
        <v>3100</v>
      </c>
      <c r="M6" s="1" t="s">
        <v>3101</v>
      </c>
      <c r="N6" s="1" t="s">
        <v>3102</v>
      </c>
      <c r="O6" s="1" t="s">
        <v>3103</v>
      </c>
      <c r="P6" s="1" t="s">
        <v>3104</v>
      </c>
      <c r="Q6" s="1" t="s">
        <v>454</v>
      </c>
      <c r="R6" s="57" t="s">
        <v>3105</v>
      </c>
    </row>
    <row r="7" spans="1:18" ht="58.5" thickBot="1" x14ac:dyDescent="0.4">
      <c r="A7" s="3" t="s">
        <v>3106</v>
      </c>
      <c r="B7" s="1" t="s">
        <v>3042</v>
      </c>
      <c r="C7" s="1" t="s">
        <v>3107</v>
      </c>
      <c r="D7" s="1" t="s">
        <v>3108</v>
      </c>
      <c r="E7" s="1" t="s">
        <v>3109</v>
      </c>
      <c r="F7" s="1" t="s">
        <v>15</v>
      </c>
      <c r="G7" s="1" t="s">
        <v>3110</v>
      </c>
      <c r="H7" s="1" t="s">
        <v>3111</v>
      </c>
      <c r="I7" s="2" t="s">
        <v>1309</v>
      </c>
      <c r="J7" s="2" t="s">
        <v>3112</v>
      </c>
      <c r="K7" s="2" t="s">
        <v>3113</v>
      </c>
      <c r="L7" s="1" t="s">
        <v>3114</v>
      </c>
      <c r="M7" s="1" t="s">
        <v>3115</v>
      </c>
      <c r="N7" s="1" t="s">
        <v>3116</v>
      </c>
      <c r="O7" s="1" t="s">
        <v>3117</v>
      </c>
      <c r="P7" s="1" t="s">
        <v>3118</v>
      </c>
      <c r="Q7" s="1" t="s">
        <v>454</v>
      </c>
      <c r="R7" s="57" t="s">
        <v>3119</v>
      </c>
    </row>
    <row r="8" spans="1:18" ht="58.5" thickBot="1" x14ac:dyDescent="0.4">
      <c r="A8" s="3" t="s">
        <v>3120</v>
      </c>
      <c r="B8" s="1" t="s">
        <v>3042</v>
      </c>
      <c r="C8" s="1" t="s">
        <v>3121</v>
      </c>
      <c r="D8" s="1" t="s">
        <v>3122</v>
      </c>
      <c r="E8" s="1" t="s">
        <v>3123</v>
      </c>
      <c r="F8" s="1" t="s">
        <v>15</v>
      </c>
      <c r="G8" s="1" t="s">
        <v>3124</v>
      </c>
      <c r="H8" s="1" t="s">
        <v>3125</v>
      </c>
      <c r="I8" s="2" t="s">
        <v>1794</v>
      </c>
      <c r="J8" s="2" t="s">
        <v>858</v>
      </c>
      <c r="K8" s="2" t="s">
        <v>3126</v>
      </c>
      <c r="L8" s="1" t="s">
        <v>3127</v>
      </c>
      <c r="M8" s="1" t="s">
        <v>3128</v>
      </c>
      <c r="N8" s="1" t="s">
        <v>3129</v>
      </c>
      <c r="O8" s="1" t="s">
        <v>3130</v>
      </c>
      <c r="P8" s="1" t="s">
        <v>3131</v>
      </c>
      <c r="Q8" s="1" t="s">
        <v>454</v>
      </c>
      <c r="R8" s="57" t="s">
        <v>1794</v>
      </c>
    </row>
    <row r="9" spans="1:18" ht="58.5" thickBot="1" x14ac:dyDescent="0.4">
      <c r="A9" s="3" t="s">
        <v>1250</v>
      </c>
      <c r="B9" s="1" t="s">
        <v>3042</v>
      </c>
      <c r="C9" s="1" t="s">
        <v>3132</v>
      </c>
      <c r="D9" s="1" t="s">
        <v>3133</v>
      </c>
      <c r="E9" s="1" t="s">
        <v>3134</v>
      </c>
      <c r="F9" s="1" t="s">
        <v>15</v>
      </c>
      <c r="G9" s="1" t="s">
        <v>3135</v>
      </c>
      <c r="H9" s="1" t="s">
        <v>3136</v>
      </c>
      <c r="I9" s="2" t="s">
        <v>1254</v>
      </c>
      <c r="J9" s="2" t="s">
        <v>3137</v>
      </c>
      <c r="K9" s="2" t="s">
        <v>3138</v>
      </c>
      <c r="L9" s="1" t="s">
        <v>3139</v>
      </c>
      <c r="M9" s="1" t="s">
        <v>3128</v>
      </c>
      <c r="N9" s="1" t="s">
        <v>3051</v>
      </c>
      <c r="O9" s="1" t="s">
        <v>3140</v>
      </c>
      <c r="P9" s="1" t="s">
        <v>3141</v>
      </c>
      <c r="Q9" s="1" t="s">
        <v>454</v>
      </c>
      <c r="R9" s="57" t="s">
        <v>1254</v>
      </c>
    </row>
    <row r="10" spans="1:18" ht="58.5" thickBot="1" x14ac:dyDescent="0.4">
      <c r="A10" s="3" t="s">
        <v>1287</v>
      </c>
      <c r="B10" s="1" t="s">
        <v>3042</v>
      </c>
      <c r="C10" s="1" t="s">
        <v>3142</v>
      </c>
      <c r="D10" s="1" t="s">
        <v>3143</v>
      </c>
      <c r="E10" s="1" t="s">
        <v>3144</v>
      </c>
      <c r="F10" s="1" t="s">
        <v>15</v>
      </c>
      <c r="G10" s="1" t="s">
        <v>3145</v>
      </c>
      <c r="H10" s="1" t="s">
        <v>3146</v>
      </c>
      <c r="I10" s="1" t="s">
        <v>928</v>
      </c>
      <c r="J10" s="2" t="s">
        <v>3147</v>
      </c>
      <c r="K10" s="2" t="s">
        <v>3148</v>
      </c>
      <c r="L10" s="1" t="s">
        <v>3149</v>
      </c>
      <c r="M10" s="1" t="s">
        <v>3128</v>
      </c>
      <c r="N10" s="1" t="s">
        <v>3150</v>
      </c>
      <c r="O10" s="1" t="s">
        <v>3151</v>
      </c>
      <c r="P10" s="1" t="s">
        <v>3152</v>
      </c>
      <c r="Q10" s="1" t="s">
        <v>454</v>
      </c>
      <c r="R10" s="57" t="s">
        <v>3153</v>
      </c>
    </row>
    <row r="11" spans="1:18" ht="64" thickBot="1" x14ac:dyDescent="0.4">
      <c r="A11" s="3" t="s">
        <v>3154</v>
      </c>
      <c r="B11" s="1" t="s">
        <v>3042</v>
      </c>
      <c r="C11" s="1" t="s">
        <v>3155</v>
      </c>
      <c r="D11" s="1" t="s">
        <v>3156</v>
      </c>
      <c r="E11" s="1" t="s">
        <v>3157</v>
      </c>
      <c r="F11" s="1" t="s">
        <v>15</v>
      </c>
      <c r="G11" s="1" t="s">
        <v>3158</v>
      </c>
      <c r="H11" s="1" t="s">
        <v>3159</v>
      </c>
      <c r="I11" s="2" t="s">
        <v>1246</v>
      </c>
      <c r="J11" s="2" t="s">
        <v>3160</v>
      </c>
      <c r="K11" s="2" t="s">
        <v>3161</v>
      </c>
      <c r="L11" s="1" t="s">
        <v>3162</v>
      </c>
      <c r="M11" s="1" t="s">
        <v>3163</v>
      </c>
      <c r="N11" s="1" t="s">
        <v>3164</v>
      </c>
      <c r="O11" s="1" t="s">
        <v>3165</v>
      </c>
      <c r="P11" s="1" t="s">
        <v>3166</v>
      </c>
      <c r="Q11" s="1" t="s">
        <v>454</v>
      </c>
      <c r="R11" s="57" t="s">
        <v>3167</v>
      </c>
    </row>
    <row r="12" spans="1:18" ht="64" thickBot="1" x14ac:dyDescent="0.4">
      <c r="A12" s="3" t="s">
        <v>3168</v>
      </c>
      <c r="B12" s="1" t="s">
        <v>3042</v>
      </c>
      <c r="C12" s="1" t="s">
        <v>3169</v>
      </c>
      <c r="D12" s="1" t="s">
        <v>3170</v>
      </c>
      <c r="E12" s="1" t="s">
        <v>104</v>
      </c>
      <c r="F12" s="1" t="s">
        <v>15</v>
      </c>
      <c r="G12" s="1" t="s">
        <v>3171</v>
      </c>
      <c r="H12" s="1" t="s">
        <v>1347</v>
      </c>
      <c r="I12" s="2" t="s">
        <v>1348</v>
      </c>
      <c r="J12" s="2" t="s">
        <v>3172</v>
      </c>
      <c r="K12" s="2" t="s">
        <v>3173</v>
      </c>
      <c r="L12" s="1" t="s">
        <v>3174</v>
      </c>
      <c r="M12" s="1" t="s">
        <v>3175</v>
      </c>
      <c r="N12" s="1" t="s">
        <v>3176</v>
      </c>
      <c r="O12" s="1" t="s">
        <v>3177</v>
      </c>
      <c r="P12" s="1" t="s">
        <v>3053</v>
      </c>
      <c r="Q12" s="1" t="s">
        <v>454</v>
      </c>
      <c r="R12" s="57" t="s">
        <v>3178</v>
      </c>
    </row>
    <row r="13" spans="1:18" ht="58.5" thickBot="1" x14ac:dyDescent="0.4">
      <c r="A13" s="3" t="s">
        <v>3179</v>
      </c>
      <c r="B13" s="1" t="s">
        <v>3042</v>
      </c>
      <c r="C13" s="1" t="s">
        <v>3180</v>
      </c>
      <c r="D13" s="1" t="s">
        <v>3181</v>
      </c>
      <c r="E13" s="1" t="s">
        <v>104</v>
      </c>
      <c r="F13" s="1" t="s">
        <v>15</v>
      </c>
      <c r="G13" s="1" t="s">
        <v>3182</v>
      </c>
      <c r="H13" s="1" t="s">
        <v>3183</v>
      </c>
      <c r="I13" s="1" t="s">
        <v>928</v>
      </c>
      <c r="J13" s="2" t="s">
        <v>3184</v>
      </c>
      <c r="K13" s="2" t="s">
        <v>3185</v>
      </c>
      <c r="L13" s="1" t="s">
        <v>3186</v>
      </c>
      <c r="M13" s="1" t="s">
        <v>3187</v>
      </c>
      <c r="N13" s="1" t="s">
        <v>3188</v>
      </c>
      <c r="O13" s="1" t="s">
        <v>3189</v>
      </c>
      <c r="P13" s="1" t="s">
        <v>3190</v>
      </c>
      <c r="Q13" s="1" t="s">
        <v>454</v>
      </c>
      <c r="R13" s="57" t="s">
        <v>3191</v>
      </c>
    </row>
    <row r="14" spans="1:18" ht="58.5" thickBot="1" x14ac:dyDescent="0.4">
      <c r="A14" s="3" t="s">
        <v>3192</v>
      </c>
      <c r="B14" s="1" t="s">
        <v>3042</v>
      </c>
      <c r="C14" s="1" t="s">
        <v>3180</v>
      </c>
      <c r="D14" s="1" t="s">
        <v>3193</v>
      </c>
      <c r="E14" s="1" t="s">
        <v>3194</v>
      </c>
      <c r="F14" s="1" t="s">
        <v>15</v>
      </c>
      <c r="G14" s="1" t="s">
        <v>3195</v>
      </c>
      <c r="H14" s="1" t="s">
        <v>3196</v>
      </c>
      <c r="I14" s="2" t="s">
        <v>327</v>
      </c>
      <c r="J14" s="2" t="s">
        <v>3197</v>
      </c>
      <c r="K14" s="2" t="s">
        <v>3198</v>
      </c>
      <c r="L14" s="1" t="s">
        <v>3199</v>
      </c>
      <c r="M14" s="1" t="s">
        <v>3200</v>
      </c>
      <c r="N14" s="1" t="s">
        <v>3188</v>
      </c>
      <c r="O14" s="1" t="s">
        <v>3201</v>
      </c>
      <c r="P14" s="1" t="s">
        <v>3202</v>
      </c>
      <c r="Q14" s="1" t="s">
        <v>454</v>
      </c>
      <c r="R14" s="57" t="s">
        <v>327</v>
      </c>
    </row>
    <row r="15" spans="1:18" ht="58.5" thickBot="1" x14ac:dyDescent="0.4">
      <c r="A15" s="3" t="s">
        <v>3203</v>
      </c>
      <c r="B15" s="1" t="s">
        <v>3042</v>
      </c>
      <c r="C15" s="1" t="s">
        <v>3204</v>
      </c>
      <c r="D15" s="1" t="s">
        <v>3205</v>
      </c>
      <c r="E15" s="1" t="s">
        <v>326</v>
      </c>
      <c r="F15" s="1" t="s">
        <v>15</v>
      </c>
      <c r="G15" s="1" t="s">
        <v>147</v>
      </c>
      <c r="H15" s="1" t="s">
        <v>3196</v>
      </c>
      <c r="I15" s="2" t="s">
        <v>148</v>
      </c>
      <c r="J15" s="2" t="s">
        <v>3197</v>
      </c>
      <c r="K15" s="2" t="s">
        <v>3206</v>
      </c>
      <c r="L15" s="1" t="s">
        <v>3207</v>
      </c>
      <c r="M15" s="1" t="s">
        <v>3128</v>
      </c>
      <c r="N15" s="1" t="s">
        <v>3188</v>
      </c>
      <c r="O15" s="1" t="s">
        <v>3208</v>
      </c>
      <c r="P15" s="1" t="s">
        <v>3209</v>
      </c>
      <c r="Q15" s="1" t="s">
        <v>454</v>
      </c>
      <c r="R15" s="57" t="s">
        <v>148</v>
      </c>
    </row>
    <row r="16" spans="1:18" ht="58.5" thickBot="1" x14ac:dyDescent="0.4">
      <c r="A16" s="3" t="s">
        <v>3210</v>
      </c>
      <c r="B16" s="1" t="s">
        <v>3042</v>
      </c>
      <c r="C16" s="1" t="s">
        <v>3211</v>
      </c>
      <c r="D16" s="1" t="s">
        <v>1332</v>
      </c>
      <c r="E16" s="1" t="s">
        <v>122</v>
      </c>
      <c r="F16" s="1" t="s">
        <v>15</v>
      </c>
      <c r="G16" s="1" t="s">
        <v>3212</v>
      </c>
      <c r="H16" s="1" t="s">
        <v>3213</v>
      </c>
      <c r="I16" s="2" t="s">
        <v>3214</v>
      </c>
      <c r="J16" s="2" t="s">
        <v>3215</v>
      </c>
      <c r="K16" s="2" t="s">
        <v>3216</v>
      </c>
      <c r="L16" s="1" t="s">
        <v>3217</v>
      </c>
      <c r="M16" s="1" t="s">
        <v>3218</v>
      </c>
      <c r="N16" s="1" t="s">
        <v>3051</v>
      </c>
      <c r="O16" s="1" t="s">
        <v>3219</v>
      </c>
      <c r="P16" s="1" t="s">
        <v>3220</v>
      </c>
      <c r="Q16" s="1" t="s">
        <v>454</v>
      </c>
      <c r="R16" s="57" t="s">
        <v>3214</v>
      </c>
    </row>
    <row r="17" spans="1:18" ht="51.5" thickBot="1" x14ac:dyDescent="0.4">
      <c r="A17" s="3" t="s">
        <v>3221</v>
      </c>
      <c r="B17" s="1" t="s">
        <v>3042</v>
      </c>
      <c r="C17" s="1" t="s">
        <v>3222</v>
      </c>
      <c r="D17" s="1" t="s">
        <v>3223</v>
      </c>
      <c r="E17" s="1" t="s">
        <v>3224</v>
      </c>
      <c r="F17" s="1" t="s">
        <v>15</v>
      </c>
      <c r="G17" s="1" t="s">
        <v>3225</v>
      </c>
      <c r="H17" s="1" t="s">
        <v>3226</v>
      </c>
      <c r="I17" s="2" t="s">
        <v>3227</v>
      </c>
      <c r="J17" s="2" t="s">
        <v>3228</v>
      </c>
      <c r="K17" s="2" t="s">
        <v>3229</v>
      </c>
      <c r="L17" s="1" t="s">
        <v>3230</v>
      </c>
      <c r="M17" s="1" t="s">
        <v>3231</v>
      </c>
      <c r="N17" s="1" t="s">
        <v>3232</v>
      </c>
      <c r="O17" s="1" t="s">
        <v>3233</v>
      </c>
      <c r="P17" s="1" t="s">
        <v>3234</v>
      </c>
      <c r="Q17" s="1" t="s">
        <v>454</v>
      </c>
      <c r="R17" s="57" t="s">
        <v>3227</v>
      </c>
    </row>
    <row r="18" spans="1:18" ht="58.5" thickBot="1" x14ac:dyDescent="0.4">
      <c r="A18" s="3" t="s">
        <v>3235</v>
      </c>
      <c r="B18" s="1" t="s">
        <v>3042</v>
      </c>
      <c r="C18" s="1" t="s">
        <v>3236</v>
      </c>
      <c r="D18" s="1" t="s">
        <v>3237</v>
      </c>
      <c r="E18" s="1" t="s">
        <v>3238</v>
      </c>
      <c r="F18" s="1" t="s">
        <v>15</v>
      </c>
      <c r="G18" s="1" t="s">
        <v>3239</v>
      </c>
      <c r="H18" s="1" t="s">
        <v>3240</v>
      </c>
      <c r="I18" s="2" t="s">
        <v>3241</v>
      </c>
      <c r="J18" s="2" t="s">
        <v>3242</v>
      </c>
      <c r="K18" s="2" t="s">
        <v>3243</v>
      </c>
      <c r="L18" s="1" t="s">
        <v>3244</v>
      </c>
      <c r="M18" s="1" t="s">
        <v>3128</v>
      </c>
      <c r="N18" s="1" t="s">
        <v>3188</v>
      </c>
      <c r="O18" s="1" t="s">
        <v>3245</v>
      </c>
      <c r="P18" s="1" t="s">
        <v>3202</v>
      </c>
      <c r="Q18" s="1" t="s">
        <v>454</v>
      </c>
      <c r="R18" s="57" t="s">
        <v>3241</v>
      </c>
    </row>
    <row r="19" spans="1:18" ht="58.5" thickBot="1" x14ac:dyDescent="0.4">
      <c r="A19" s="3" t="s">
        <v>3246</v>
      </c>
      <c r="B19" s="1" t="s">
        <v>3042</v>
      </c>
      <c r="C19" s="1" t="s">
        <v>3247</v>
      </c>
      <c r="D19" s="1" t="s">
        <v>3248</v>
      </c>
      <c r="E19" s="1" t="s">
        <v>3249</v>
      </c>
      <c r="F19" s="1" t="s">
        <v>15</v>
      </c>
      <c r="G19" s="1" t="s">
        <v>3250</v>
      </c>
      <c r="H19" s="1" t="s">
        <v>3251</v>
      </c>
      <c r="I19" s="2" t="s">
        <v>434</v>
      </c>
      <c r="J19" s="2" t="s">
        <v>3252</v>
      </c>
      <c r="K19" s="2" t="s">
        <v>3253</v>
      </c>
      <c r="L19" s="1" t="s">
        <v>3254</v>
      </c>
      <c r="M19" s="1" t="s">
        <v>3218</v>
      </c>
      <c r="N19" s="1" t="s">
        <v>3150</v>
      </c>
      <c r="O19" s="1" t="s">
        <v>3255</v>
      </c>
      <c r="P19" s="1" t="s">
        <v>3256</v>
      </c>
      <c r="Q19" s="1" t="s">
        <v>454</v>
      </c>
      <c r="R19" s="57" t="s">
        <v>434</v>
      </c>
    </row>
    <row r="20" spans="1:18" ht="58.5" thickBot="1" x14ac:dyDescent="0.4">
      <c r="A20" s="3" t="s">
        <v>3257</v>
      </c>
      <c r="B20" s="1" t="s">
        <v>3042</v>
      </c>
      <c r="C20" s="1" t="s">
        <v>3258</v>
      </c>
      <c r="D20" s="1" t="s">
        <v>3259</v>
      </c>
      <c r="E20" s="1" t="s">
        <v>3260</v>
      </c>
      <c r="F20" s="1" t="s">
        <v>15</v>
      </c>
      <c r="G20" s="1" t="s">
        <v>3261</v>
      </c>
      <c r="H20" s="1" t="s">
        <v>3262</v>
      </c>
      <c r="I20" s="2" t="s">
        <v>3263</v>
      </c>
      <c r="J20" s="2" t="s">
        <v>3264</v>
      </c>
      <c r="K20" s="2" t="s">
        <v>3265</v>
      </c>
      <c r="L20" s="1" t="s">
        <v>3266</v>
      </c>
      <c r="M20" s="1" t="s">
        <v>3218</v>
      </c>
      <c r="N20" s="1" t="s">
        <v>3267</v>
      </c>
      <c r="O20" s="1" t="s">
        <v>3268</v>
      </c>
      <c r="P20" s="1" t="s">
        <v>3269</v>
      </c>
      <c r="Q20" s="1" t="s">
        <v>454</v>
      </c>
      <c r="R20" s="57" t="s">
        <v>3263</v>
      </c>
    </row>
    <row r="21" spans="1:18" ht="58.5" thickBot="1" x14ac:dyDescent="0.4">
      <c r="A21" s="3" t="s">
        <v>3270</v>
      </c>
      <c r="B21" s="1" t="s">
        <v>3042</v>
      </c>
      <c r="C21" s="1" t="s">
        <v>3271</v>
      </c>
      <c r="D21" s="1" t="s">
        <v>3272</v>
      </c>
      <c r="E21" s="1" t="s">
        <v>3273</v>
      </c>
      <c r="F21" s="1" t="s">
        <v>15</v>
      </c>
      <c r="G21" s="1" t="s">
        <v>3274</v>
      </c>
      <c r="H21" s="1" t="s">
        <v>3275</v>
      </c>
      <c r="I21" s="2" t="s">
        <v>3276</v>
      </c>
      <c r="J21" s="2" t="s">
        <v>3277</v>
      </c>
      <c r="K21" s="2" t="s">
        <v>3278</v>
      </c>
      <c r="L21" s="1" t="s">
        <v>3279</v>
      </c>
      <c r="M21" s="1" t="s">
        <v>3280</v>
      </c>
      <c r="N21" s="1" t="s">
        <v>3281</v>
      </c>
      <c r="O21" s="1" t="s">
        <v>3282</v>
      </c>
      <c r="P21" s="1" t="s">
        <v>3283</v>
      </c>
      <c r="Q21" s="1" t="s">
        <v>454</v>
      </c>
      <c r="R21" s="57" t="s">
        <v>3276</v>
      </c>
    </row>
    <row r="22" spans="1:18" ht="58.5" thickBot="1" x14ac:dyDescent="0.4">
      <c r="A22" s="3" t="s">
        <v>3284</v>
      </c>
      <c r="B22" s="1" t="s">
        <v>3042</v>
      </c>
      <c r="C22" s="1" t="s">
        <v>3285</v>
      </c>
      <c r="D22" s="1" t="s">
        <v>3286</v>
      </c>
      <c r="E22" s="1" t="s">
        <v>3273</v>
      </c>
      <c r="F22" s="1" t="s">
        <v>15</v>
      </c>
      <c r="G22" s="1" t="s">
        <v>3287</v>
      </c>
      <c r="H22" s="1" t="s">
        <v>3288</v>
      </c>
      <c r="I22" s="2" t="s">
        <v>3289</v>
      </c>
      <c r="J22" s="2" t="s">
        <v>3290</v>
      </c>
      <c r="K22" s="2" t="s">
        <v>3291</v>
      </c>
      <c r="L22" s="1" t="s">
        <v>3292</v>
      </c>
      <c r="M22" s="1" t="s">
        <v>3293</v>
      </c>
      <c r="N22" s="1" t="s">
        <v>3294</v>
      </c>
      <c r="O22" s="1" t="s">
        <v>3295</v>
      </c>
      <c r="P22" s="1" t="s">
        <v>3296</v>
      </c>
      <c r="Q22" s="1" t="s">
        <v>454</v>
      </c>
      <c r="R22" s="57" t="s">
        <v>3289</v>
      </c>
    </row>
    <row r="23" spans="1:18" ht="58.5" thickBot="1" x14ac:dyDescent="0.4">
      <c r="A23" s="3" t="s">
        <v>3297</v>
      </c>
      <c r="B23" s="1" t="s">
        <v>3042</v>
      </c>
      <c r="C23" s="1" t="s">
        <v>3298</v>
      </c>
      <c r="D23" s="1" t="s">
        <v>3299</v>
      </c>
      <c r="E23" s="1" t="s">
        <v>14</v>
      </c>
      <c r="F23" s="1" t="s">
        <v>15</v>
      </c>
      <c r="G23" s="1" t="s">
        <v>3300</v>
      </c>
      <c r="H23" s="1" t="s">
        <v>1068</v>
      </c>
      <c r="I23" s="2" t="s">
        <v>452</v>
      </c>
      <c r="J23" s="2" t="s">
        <v>3301</v>
      </c>
      <c r="K23" s="2" t="s">
        <v>3302</v>
      </c>
      <c r="L23" s="1" t="s">
        <v>3303</v>
      </c>
      <c r="M23" s="1" t="s">
        <v>3231</v>
      </c>
      <c r="N23" s="1" t="s">
        <v>3304</v>
      </c>
      <c r="O23" s="1" t="s">
        <v>3305</v>
      </c>
      <c r="P23" s="1" t="s">
        <v>3306</v>
      </c>
      <c r="Q23" s="1" t="s">
        <v>454</v>
      </c>
      <c r="R23" s="57" t="s">
        <v>3307</v>
      </c>
    </row>
    <row r="24" spans="1:18" ht="73" thickBot="1" x14ac:dyDescent="0.4">
      <c r="A24" s="3" t="s">
        <v>3308</v>
      </c>
      <c r="B24" s="1" t="s">
        <v>3042</v>
      </c>
      <c r="C24" s="1" t="s">
        <v>3309</v>
      </c>
      <c r="D24" s="1" t="s">
        <v>3310</v>
      </c>
      <c r="E24" s="1" t="s">
        <v>1121</v>
      </c>
      <c r="F24" s="1" t="s">
        <v>15</v>
      </c>
      <c r="G24" s="1" t="s">
        <v>3311</v>
      </c>
      <c r="H24" s="1" t="s">
        <v>3312</v>
      </c>
      <c r="I24" s="2" t="s">
        <v>1776</v>
      </c>
      <c r="J24" s="2" t="s">
        <v>3313</v>
      </c>
      <c r="K24" s="2" t="s">
        <v>3314</v>
      </c>
      <c r="L24" s="1" t="s">
        <v>3315</v>
      </c>
      <c r="M24" s="1" t="s">
        <v>3218</v>
      </c>
      <c r="N24" s="1" t="s">
        <v>3316</v>
      </c>
      <c r="O24" s="1" t="s">
        <v>3317</v>
      </c>
      <c r="P24" s="1" t="s">
        <v>3318</v>
      </c>
      <c r="Q24" s="1" t="s">
        <v>454</v>
      </c>
      <c r="R24" s="57" t="s">
        <v>1776</v>
      </c>
    </row>
    <row r="25" spans="1:18" ht="73" thickBot="1" x14ac:dyDescent="0.4">
      <c r="A25" s="3" t="s">
        <v>1270</v>
      </c>
      <c r="B25" s="1" t="s">
        <v>3042</v>
      </c>
      <c r="C25" s="1" t="s">
        <v>3320</v>
      </c>
      <c r="D25" s="1" t="s">
        <v>3321</v>
      </c>
      <c r="E25" s="1" t="s">
        <v>72</v>
      </c>
      <c r="F25" s="1" t="s">
        <v>15</v>
      </c>
      <c r="G25" s="1" t="s">
        <v>1272</v>
      </c>
      <c r="H25" s="1" t="s">
        <v>3322</v>
      </c>
      <c r="I25" s="1" t="s">
        <v>928</v>
      </c>
      <c r="J25" s="2" t="s">
        <v>3323</v>
      </c>
      <c r="K25" s="2" t="s">
        <v>3324</v>
      </c>
      <c r="L25" s="1" t="s">
        <v>3325</v>
      </c>
      <c r="M25" s="1" t="s">
        <v>3128</v>
      </c>
      <c r="N25" s="1" t="s">
        <v>3326</v>
      </c>
      <c r="O25" s="1" t="s">
        <v>3327</v>
      </c>
      <c r="P25" s="1" t="s">
        <v>3081</v>
      </c>
      <c r="Q25" s="1" t="s">
        <v>454</v>
      </c>
      <c r="R25" s="57" t="s">
        <v>3328</v>
      </c>
    </row>
    <row r="26" spans="1:18" ht="58.5" thickBot="1" x14ac:dyDescent="0.4">
      <c r="A26" s="3" t="s">
        <v>3329</v>
      </c>
      <c r="B26" s="1" t="s">
        <v>3042</v>
      </c>
      <c r="C26" s="1" t="s">
        <v>3330</v>
      </c>
      <c r="D26" s="1" t="s">
        <v>3331</v>
      </c>
      <c r="E26" s="1" t="s">
        <v>298</v>
      </c>
      <c r="F26" s="1" t="s">
        <v>15</v>
      </c>
      <c r="G26" s="1" t="s">
        <v>3332</v>
      </c>
      <c r="H26" s="1" t="s">
        <v>3333</v>
      </c>
      <c r="I26" s="1" t="s">
        <v>928</v>
      </c>
      <c r="J26" s="2" t="s">
        <v>3334</v>
      </c>
      <c r="K26" s="2" t="s">
        <v>3335</v>
      </c>
      <c r="L26" s="1" t="s">
        <v>3139</v>
      </c>
      <c r="M26" s="1" t="s">
        <v>3218</v>
      </c>
      <c r="N26" s="1" t="s">
        <v>3150</v>
      </c>
      <c r="O26" s="1" t="s">
        <v>3336</v>
      </c>
      <c r="P26" s="1" t="s">
        <v>3337</v>
      </c>
      <c r="Q26" s="1" t="s">
        <v>454</v>
      </c>
      <c r="R26" s="57" t="s">
        <v>3338</v>
      </c>
    </row>
    <row r="27" spans="1:18" ht="58.5" thickBot="1" x14ac:dyDescent="0.4">
      <c r="A27" s="3" t="s">
        <v>1314</v>
      </c>
      <c r="B27" s="1" t="s">
        <v>3042</v>
      </c>
      <c r="C27" s="1" t="s">
        <v>3339</v>
      </c>
      <c r="D27" s="1" t="s">
        <v>3340</v>
      </c>
      <c r="E27" s="1" t="s">
        <v>51</v>
      </c>
      <c r="F27" s="1" t="s">
        <v>15</v>
      </c>
      <c r="G27" s="1" t="s">
        <v>1316</v>
      </c>
      <c r="H27" s="1" t="s">
        <v>3341</v>
      </c>
      <c r="I27" s="1" t="s">
        <v>928</v>
      </c>
      <c r="J27" s="2" t="s">
        <v>3342</v>
      </c>
      <c r="K27" s="2" t="s">
        <v>3343</v>
      </c>
      <c r="L27" s="1" t="s">
        <v>3344</v>
      </c>
      <c r="M27" s="1" t="s">
        <v>3218</v>
      </c>
      <c r="N27" s="1" t="s">
        <v>3051</v>
      </c>
      <c r="O27" s="1" t="s">
        <v>3345</v>
      </c>
      <c r="P27" s="1" t="s">
        <v>3234</v>
      </c>
      <c r="Q27" s="1" t="s">
        <v>454</v>
      </c>
      <c r="R27" s="57" t="s">
        <v>3346</v>
      </c>
    </row>
    <row r="28" spans="1:18" ht="58.5" thickBot="1" x14ac:dyDescent="0.4">
      <c r="A28" s="3" t="s">
        <v>1275</v>
      </c>
      <c r="B28" s="1" t="s">
        <v>3042</v>
      </c>
      <c r="C28" s="1" t="s">
        <v>3347</v>
      </c>
      <c r="D28" s="1" t="s">
        <v>3348</v>
      </c>
      <c r="E28" s="1" t="s">
        <v>3349</v>
      </c>
      <c r="F28" s="1" t="s">
        <v>15</v>
      </c>
      <c r="G28" s="1" t="s">
        <v>1277</v>
      </c>
      <c r="H28" s="1" t="s">
        <v>3350</v>
      </c>
      <c r="I28" s="2" t="s">
        <v>1278</v>
      </c>
      <c r="J28" s="2" t="s">
        <v>3351</v>
      </c>
      <c r="K28" s="2" t="s">
        <v>3352</v>
      </c>
      <c r="L28" s="1" t="s">
        <v>3353</v>
      </c>
      <c r="M28" s="1" t="s">
        <v>3218</v>
      </c>
      <c r="N28" s="1" t="s">
        <v>3176</v>
      </c>
      <c r="O28" s="1" t="s">
        <v>3354</v>
      </c>
      <c r="P28" s="1" t="s">
        <v>3202</v>
      </c>
      <c r="Q28" s="1" t="s">
        <v>454</v>
      </c>
      <c r="R28" s="57" t="s">
        <v>1278</v>
      </c>
    </row>
    <row r="29" spans="1:18" ht="58.5" thickBot="1" x14ac:dyDescent="0.4">
      <c r="A29" s="3" t="s">
        <v>1311</v>
      </c>
      <c r="B29" s="1" t="s">
        <v>3042</v>
      </c>
      <c r="C29" s="1" t="s">
        <v>3347</v>
      </c>
      <c r="D29" s="1" t="s">
        <v>3355</v>
      </c>
      <c r="E29" s="1" t="s">
        <v>276</v>
      </c>
      <c r="F29" s="1" t="s">
        <v>15</v>
      </c>
      <c r="G29" s="1" t="s">
        <v>3356</v>
      </c>
      <c r="H29" s="1" t="s">
        <v>3357</v>
      </c>
      <c r="I29" s="2" t="s">
        <v>3358</v>
      </c>
      <c r="J29" s="2" t="s">
        <v>3359</v>
      </c>
      <c r="K29" s="2" t="s">
        <v>3360</v>
      </c>
      <c r="L29" s="1" t="s">
        <v>3049</v>
      </c>
      <c r="M29" s="1" t="s">
        <v>3231</v>
      </c>
      <c r="N29" s="1" t="s">
        <v>3051</v>
      </c>
      <c r="O29" s="1" t="s">
        <v>3361</v>
      </c>
      <c r="P29" s="1" t="s">
        <v>3234</v>
      </c>
      <c r="Q29" s="1" t="s">
        <v>454</v>
      </c>
      <c r="R29" s="57" t="s">
        <v>3153</v>
      </c>
    </row>
    <row r="30" spans="1:18" ht="51.5" thickBot="1" x14ac:dyDescent="0.4">
      <c r="A30" s="3" t="s">
        <v>3362</v>
      </c>
      <c r="B30" s="1" t="s">
        <v>3042</v>
      </c>
      <c r="C30" s="1" t="s">
        <v>3363</v>
      </c>
      <c r="D30" s="1" t="s">
        <v>3364</v>
      </c>
      <c r="E30" s="1" t="s">
        <v>37</v>
      </c>
      <c r="F30" s="1" t="s">
        <v>15</v>
      </c>
      <c r="G30" s="1" t="s">
        <v>3365</v>
      </c>
      <c r="H30" s="1" t="s">
        <v>584</v>
      </c>
      <c r="I30" s="2" t="s">
        <v>39</v>
      </c>
      <c r="J30" s="2" t="s">
        <v>1293</v>
      </c>
      <c r="K30" s="2" t="s">
        <v>3366</v>
      </c>
      <c r="L30" s="1" t="s">
        <v>3367</v>
      </c>
      <c r="M30" s="1" t="s">
        <v>3368</v>
      </c>
      <c r="N30" s="1" t="s">
        <v>3369</v>
      </c>
      <c r="O30" s="1" t="s">
        <v>3370</v>
      </c>
      <c r="P30" s="1" t="s">
        <v>3371</v>
      </c>
      <c r="Q30" s="1" t="s">
        <v>454</v>
      </c>
      <c r="R30" s="57" t="s">
        <v>39</v>
      </c>
    </row>
    <row r="31" spans="1:18" ht="58.5" thickBot="1" x14ac:dyDescent="0.4">
      <c r="A31" s="3" t="s">
        <v>3372</v>
      </c>
      <c r="B31" s="1" t="s">
        <v>3042</v>
      </c>
      <c r="C31" s="1" t="s">
        <v>3373</v>
      </c>
      <c r="D31" s="1" t="s">
        <v>3374</v>
      </c>
      <c r="E31" s="1" t="s">
        <v>3375</v>
      </c>
      <c r="F31" s="1" t="s">
        <v>15</v>
      </c>
      <c r="G31" s="1" t="s">
        <v>1298</v>
      </c>
      <c r="H31" s="1" t="s">
        <v>3376</v>
      </c>
      <c r="I31" s="1" t="s">
        <v>928</v>
      </c>
      <c r="J31" s="2" t="s">
        <v>3377</v>
      </c>
      <c r="K31" s="2" t="s">
        <v>3378</v>
      </c>
      <c r="L31" s="1" t="s">
        <v>3379</v>
      </c>
      <c r="M31" s="1" t="s">
        <v>3380</v>
      </c>
      <c r="N31" s="1" t="s">
        <v>3176</v>
      </c>
      <c r="O31" s="1" t="s">
        <v>3381</v>
      </c>
      <c r="P31" s="1" t="s">
        <v>3382</v>
      </c>
      <c r="Q31" s="1" t="s">
        <v>454</v>
      </c>
      <c r="R31" s="57" t="s">
        <v>3383</v>
      </c>
    </row>
    <row r="32" spans="1:18" ht="58.5" thickBot="1" x14ac:dyDescent="0.4">
      <c r="A32" s="3" t="s">
        <v>3384</v>
      </c>
      <c r="B32" s="1" t="s">
        <v>3042</v>
      </c>
      <c r="C32" s="1" t="s">
        <v>3385</v>
      </c>
      <c r="D32" s="1" t="s">
        <v>3386</v>
      </c>
      <c r="E32" s="1" t="s">
        <v>3387</v>
      </c>
      <c r="F32" s="1" t="s">
        <v>15</v>
      </c>
      <c r="G32" s="1" t="s">
        <v>3388</v>
      </c>
      <c r="H32" s="1" t="s">
        <v>3389</v>
      </c>
      <c r="I32" s="1" t="s">
        <v>928</v>
      </c>
      <c r="J32" s="2" t="s">
        <v>3390</v>
      </c>
      <c r="K32" s="2" t="s">
        <v>3391</v>
      </c>
      <c r="L32" s="1" t="s">
        <v>3392</v>
      </c>
      <c r="M32" s="1" t="s">
        <v>3380</v>
      </c>
      <c r="N32" s="1" t="s">
        <v>3393</v>
      </c>
      <c r="O32" s="1" t="s">
        <v>3394</v>
      </c>
      <c r="P32" s="1" t="s">
        <v>3395</v>
      </c>
      <c r="Q32" s="1" t="s">
        <v>454</v>
      </c>
      <c r="R32" s="57" t="s">
        <v>3396</v>
      </c>
    </row>
    <row r="33" spans="1:18" ht="58.5" thickBot="1" x14ac:dyDescent="0.4">
      <c r="A33" s="3" t="s">
        <v>3397</v>
      </c>
      <c r="B33" s="1" t="s">
        <v>3042</v>
      </c>
      <c r="C33" s="1" t="s">
        <v>3169</v>
      </c>
      <c r="D33" s="1" t="s">
        <v>3398</v>
      </c>
      <c r="E33" s="1" t="s">
        <v>3095</v>
      </c>
      <c r="F33" s="1" t="s">
        <v>15</v>
      </c>
      <c r="G33" s="1" t="s">
        <v>3399</v>
      </c>
      <c r="H33" s="1" t="s">
        <v>3400</v>
      </c>
      <c r="I33" s="1" t="s">
        <v>928</v>
      </c>
      <c r="J33" s="2" t="s">
        <v>3401</v>
      </c>
      <c r="K33" s="2" t="s">
        <v>3402</v>
      </c>
      <c r="L33" s="1" t="s">
        <v>3403</v>
      </c>
      <c r="M33" s="1" t="s">
        <v>3231</v>
      </c>
      <c r="N33" s="1" t="s">
        <v>3188</v>
      </c>
      <c r="O33" s="1" t="s">
        <v>3404</v>
      </c>
      <c r="P33" s="1" t="s">
        <v>3405</v>
      </c>
      <c r="Q33" s="1" t="s">
        <v>454</v>
      </c>
      <c r="R33" s="57" t="s">
        <v>3068</v>
      </c>
    </row>
    <row r="34" spans="1:18" ht="58.5" thickBot="1" x14ac:dyDescent="0.4">
      <c r="A34" s="3" t="s">
        <v>1389</v>
      </c>
      <c r="B34" s="1" t="s">
        <v>3042</v>
      </c>
      <c r="C34" s="1" t="s">
        <v>3406</v>
      </c>
      <c r="D34" s="1" t="s">
        <v>3407</v>
      </c>
      <c r="E34" s="1" t="s">
        <v>197</v>
      </c>
      <c r="F34" s="1" t="s">
        <v>15</v>
      </c>
      <c r="G34" s="1" t="s">
        <v>1391</v>
      </c>
      <c r="H34" s="1" t="s">
        <v>928</v>
      </c>
      <c r="I34" s="1" t="s">
        <v>928</v>
      </c>
      <c r="J34" s="2" t="s">
        <v>3408</v>
      </c>
      <c r="K34" s="2" t="s">
        <v>3409</v>
      </c>
      <c r="L34" s="1" t="s">
        <v>3410</v>
      </c>
      <c r="M34" s="1" t="s">
        <v>3411</v>
      </c>
      <c r="N34" s="1" t="s">
        <v>3051</v>
      </c>
      <c r="O34" s="1" t="s">
        <v>3412</v>
      </c>
      <c r="P34" s="1" t="s">
        <v>3413</v>
      </c>
      <c r="Q34" s="1" t="s">
        <v>454</v>
      </c>
      <c r="R34" s="57" t="s">
        <v>3414</v>
      </c>
    </row>
    <row r="35" spans="1:18" ht="58.5" thickBot="1" x14ac:dyDescent="0.4">
      <c r="A35" s="3" t="s">
        <v>1380</v>
      </c>
      <c r="B35" s="1" t="s">
        <v>3042</v>
      </c>
      <c r="C35" s="1" t="s">
        <v>3415</v>
      </c>
      <c r="D35" s="1" t="s">
        <v>3416</v>
      </c>
      <c r="E35" s="1" t="s">
        <v>172</v>
      </c>
      <c r="F35" s="1" t="s">
        <v>15</v>
      </c>
      <c r="G35" s="1" t="s">
        <v>1382</v>
      </c>
      <c r="H35" s="1" t="s">
        <v>928</v>
      </c>
      <c r="I35" s="1" t="s">
        <v>928</v>
      </c>
      <c r="J35" s="2" t="s">
        <v>3417</v>
      </c>
      <c r="K35" s="2" t="s">
        <v>3418</v>
      </c>
      <c r="L35" s="1" t="s">
        <v>3419</v>
      </c>
      <c r="M35" s="1" t="s">
        <v>3380</v>
      </c>
      <c r="N35" s="1" t="s">
        <v>3420</v>
      </c>
      <c r="O35" s="1" t="s">
        <v>3421</v>
      </c>
      <c r="P35" s="1" t="s">
        <v>3422</v>
      </c>
      <c r="Q35" s="1" t="s">
        <v>454</v>
      </c>
      <c r="R35" s="57" t="s">
        <v>3423</v>
      </c>
    </row>
    <row r="36" spans="1:18" ht="73" thickBot="1" x14ac:dyDescent="0.4">
      <c r="A36" s="3" t="s">
        <v>1375</v>
      </c>
      <c r="B36" s="1" t="s">
        <v>3042</v>
      </c>
      <c r="C36" s="1" t="s">
        <v>3406</v>
      </c>
      <c r="D36" s="1" t="s">
        <v>3424</v>
      </c>
      <c r="E36" s="1" t="s">
        <v>3425</v>
      </c>
      <c r="F36" s="1" t="s">
        <v>15</v>
      </c>
      <c r="G36" s="1" t="s">
        <v>3426</v>
      </c>
      <c r="H36" s="1" t="s">
        <v>928</v>
      </c>
      <c r="I36" s="1" t="s">
        <v>928</v>
      </c>
      <c r="J36" s="2" t="s">
        <v>3427</v>
      </c>
      <c r="K36" s="2" t="s">
        <v>3428</v>
      </c>
      <c r="L36" s="1" t="s">
        <v>3429</v>
      </c>
      <c r="M36" s="1" t="s">
        <v>3380</v>
      </c>
      <c r="N36" s="1" t="s">
        <v>3430</v>
      </c>
      <c r="O36" s="1" t="s">
        <v>3431</v>
      </c>
      <c r="P36" s="1" t="s">
        <v>3432</v>
      </c>
      <c r="Q36" s="1" t="s">
        <v>454</v>
      </c>
      <c r="R36" s="57" t="s">
        <v>3433</v>
      </c>
    </row>
    <row r="37" spans="1:18" ht="58.5" thickBot="1" x14ac:dyDescent="0.4">
      <c r="A37" s="3" t="s">
        <v>1371</v>
      </c>
      <c r="B37" s="1" t="s">
        <v>3042</v>
      </c>
      <c r="C37" s="1" t="s">
        <v>3434</v>
      </c>
      <c r="D37" s="1" t="s">
        <v>3435</v>
      </c>
      <c r="E37" s="1" t="s">
        <v>3436</v>
      </c>
      <c r="F37" s="1" t="s">
        <v>15</v>
      </c>
      <c r="G37" s="1" t="s">
        <v>1373</v>
      </c>
      <c r="H37" s="1" t="s">
        <v>928</v>
      </c>
      <c r="I37" s="1" t="s">
        <v>928</v>
      </c>
      <c r="J37" s="2" t="s">
        <v>3437</v>
      </c>
      <c r="K37" s="2" t="s">
        <v>3438</v>
      </c>
      <c r="L37" s="1" t="s">
        <v>3439</v>
      </c>
      <c r="M37" s="1" t="s">
        <v>3380</v>
      </c>
      <c r="N37" s="1" t="s">
        <v>3051</v>
      </c>
      <c r="O37" s="1" t="s">
        <v>3421</v>
      </c>
      <c r="P37" s="1" t="s">
        <v>3440</v>
      </c>
      <c r="Q37" s="1" t="s">
        <v>454</v>
      </c>
      <c r="R37" s="57" t="s">
        <v>3441</v>
      </c>
    </row>
    <row r="38" spans="1:18" ht="58.5" thickBot="1" x14ac:dyDescent="0.4">
      <c r="A38" s="3" t="s">
        <v>95</v>
      </c>
      <c r="B38" s="1" t="s">
        <v>3042</v>
      </c>
      <c r="C38" s="1" t="s">
        <v>3442</v>
      </c>
      <c r="D38" s="1" t="s">
        <v>3443</v>
      </c>
      <c r="E38" s="1" t="s">
        <v>3444</v>
      </c>
      <c r="F38" s="1" t="s">
        <v>15</v>
      </c>
      <c r="G38" s="1" t="s">
        <v>3445</v>
      </c>
      <c r="H38" s="1" t="s">
        <v>3446</v>
      </c>
      <c r="I38" s="2" t="s">
        <v>3447</v>
      </c>
      <c r="J38" s="2" t="s">
        <v>3448</v>
      </c>
      <c r="K38" s="2" t="s">
        <v>3449</v>
      </c>
      <c r="L38" s="1" t="s">
        <v>3450</v>
      </c>
      <c r="M38" s="1" t="s">
        <v>3231</v>
      </c>
      <c r="N38" s="1" t="s">
        <v>3451</v>
      </c>
      <c r="O38" s="1" t="s">
        <v>3452</v>
      </c>
      <c r="P38" s="1" t="s">
        <v>3453</v>
      </c>
      <c r="Q38" s="1" t="s">
        <v>454</v>
      </c>
      <c r="R38" s="57" t="s">
        <v>3447</v>
      </c>
    </row>
    <row r="39" spans="1:18" ht="51.5" thickBot="1" x14ac:dyDescent="0.4">
      <c r="A39" s="3" t="s">
        <v>158</v>
      </c>
      <c r="B39" s="1" t="s">
        <v>3042</v>
      </c>
      <c r="C39" s="1" t="s">
        <v>3454</v>
      </c>
      <c r="D39" s="1" t="s">
        <v>3455</v>
      </c>
      <c r="E39" s="1" t="s">
        <v>535</v>
      </c>
      <c r="F39" s="1" t="s">
        <v>15</v>
      </c>
      <c r="G39" s="1" t="s">
        <v>3456</v>
      </c>
      <c r="H39" s="1" t="s">
        <v>474</v>
      </c>
      <c r="I39" s="2" t="s">
        <v>161</v>
      </c>
      <c r="J39" s="2" t="s">
        <v>3457</v>
      </c>
      <c r="K39" s="2" t="s">
        <v>3458</v>
      </c>
      <c r="L39" s="1" t="s">
        <v>3459</v>
      </c>
      <c r="M39" s="1" t="s">
        <v>3380</v>
      </c>
      <c r="N39" s="1" t="s">
        <v>3051</v>
      </c>
      <c r="O39" s="1" t="s">
        <v>3460</v>
      </c>
      <c r="P39" s="1" t="s">
        <v>3461</v>
      </c>
      <c r="Q39" s="1" t="s">
        <v>454</v>
      </c>
      <c r="R39" s="57" t="s">
        <v>161</v>
      </c>
    </row>
    <row r="40" spans="1:18" ht="58.5" thickBot="1" x14ac:dyDescent="0.4">
      <c r="A40" s="3" t="s">
        <v>3462</v>
      </c>
      <c r="B40" s="1" t="s">
        <v>3042</v>
      </c>
      <c r="C40" s="1" t="s">
        <v>3463</v>
      </c>
      <c r="D40" s="1" t="s">
        <v>3464</v>
      </c>
      <c r="E40" s="1" t="s">
        <v>3465</v>
      </c>
      <c r="F40" s="1" t="s">
        <v>15</v>
      </c>
      <c r="G40" s="1" t="s">
        <v>1369</v>
      </c>
      <c r="H40" s="1" t="s">
        <v>848</v>
      </c>
      <c r="I40" s="2" t="s">
        <v>3466</v>
      </c>
      <c r="J40" s="1" t="s">
        <v>928</v>
      </c>
      <c r="K40" s="2" t="s">
        <v>3467</v>
      </c>
      <c r="L40" s="1" t="s">
        <v>3468</v>
      </c>
      <c r="M40" s="1" t="s">
        <v>3380</v>
      </c>
      <c r="N40" s="1" t="s">
        <v>3469</v>
      </c>
      <c r="O40" s="1" t="s">
        <v>3470</v>
      </c>
      <c r="P40" s="1" t="s">
        <v>3471</v>
      </c>
      <c r="Q40" s="1" t="s">
        <v>454</v>
      </c>
      <c r="R40" s="57" t="s">
        <v>3466</v>
      </c>
    </row>
    <row r="41" spans="1:18" ht="58.5" thickBot="1" x14ac:dyDescent="0.4">
      <c r="A41" s="3" t="s">
        <v>140</v>
      </c>
      <c r="B41" s="1" t="s">
        <v>3042</v>
      </c>
      <c r="C41" s="1" t="s">
        <v>3472</v>
      </c>
      <c r="D41" s="1" t="s">
        <v>668</v>
      </c>
      <c r="E41" s="1" t="s">
        <v>326</v>
      </c>
      <c r="F41" s="1" t="s">
        <v>15</v>
      </c>
      <c r="G41" s="1" t="s">
        <v>143</v>
      </c>
      <c r="H41" s="1" t="s">
        <v>928</v>
      </c>
      <c r="I41" s="1" t="s">
        <v>928</v>
      </c>
      <c r="J41" s="2" t="s">
        <v>3473</v>
      </c>
      <c r="K41" s="2" t="s">
        <v>3474</v>
      </c>
      <c r="L41" s="1" t="s">
        <v>3468</v>
      </c>
      <c r="M41" s="1" t="s">
        <v>3475</v>
      </c>
      <c r="N41" s="1" t="s">
        <v>3476</v>
      </c>
      <c r="O41" s="1" t="s">
        <v>3477</v>
      </c>
      <c r="P41" s="1" t="s">
        <v>3478</v>
      </c>
      <c r="Q41" s="1" t="s">
        <v>454</v>
      </c>
      <c r="R41" s="57" t="s">
        <v>3479</v>
      </c>
    </row>
    <row r="42" spans="1:18" ht="58.5" thickBot="1" x14ac:dyDescent="0.4">
      <c r="A42" s="3" t="s">
        <v>3480</v>
      </c>
      <c r="B42" s="1" t="s">
        <v>3042</v>
      </c>
      <c r="C42" s="1" t="s">
        <v>3481</v>
      </c>
      <c r="D42" s="1" t="s">
        <v>3482</v>
      </c>
      <c r="E42" s="1" t="s">
        <v>3483</v>
      </c>
      <c r="F42" s="1" t="s">
        <v>15</v>
      </c>
      <c r="G42" s="1" t="s">
        <v>3484</v>
      </c>
      <c r="H42" s="1" t="s">
        <v>3485</v>
      </c>
      <c r="I42" s="2" t="s">
        <v>3486</v>
      </c>
      <c r="J42" s="2" t="s">
        <v>3487</v>
      </c>
      <c r="K42" s="2" t="s">
        <v>3488</v>
      </c>
      <c r="L42" s="1" t="s">
        <v>3489</v>
      </c>
      <c r="M42" s="1" t="s">
        <v>3231</v>
      </c>
      <c r="N42" s="1" t="s">
        <v>3490</v>
      </c>
      <c r="O42" s="1" t="s">
        <v>3491</v>
      </c>
      <c r="P42" s="1" t="s">
        <v>3492</v>
      </c>
      <c r="Q42" s="1" t="s">
        <v>454</v>
      </c>
      <c r="R42" s="57" t="s">
        <v>3486</v>
      </c>
    </row>
    <row r="43" spans="1:18" ht="58.5" thickBot="1" x14ac:dyDescent="0.4">
      <c r="A43" s="3" t="s">
        <v>3493</v>
      </c>
      <c r="B43" s="1" t="s">
        <v>3042</v>
      </c>
      <c r="C43" s="1" t="s">
        <v>3494</v>
      </c>
      <c r="D43" s="1" t="s">
        <v>3495</v>
      </c>
      <c r="E43" s="1" t="s">
        <v>824</v>
      </c>
      <c r="F43" s="1" t="s">
        <v>15</v>
      </c>
      <c r="G43" s="1" t="s">
        <v>3496</v>
      </c>
      <c r="H43" s="1" t="s">
        <v>3497</v>
      </c>
      <c r="I43" s="2" t="s">
        <v>3498</v>
      </c>
      <c r="J43" s="2" t="s">
        <v>1619</v>
      </c>
      <c r="K43" s="2" t="s">
        <v>3499</v>
      </c>
      <c r="L43" s="1" t="s">
        <v>3500</v>
      </c>
      <c r="M43" s="1" t="s">
        <v>3231</v>
      </c>
      <c r="N43" s="1" t="s">
        <v>3051</v>
      </c>
      <c r="O43" s="1" t="s">
        <v>3501</v>
      </c>
      <c r="P43" s="1" t="s">
        <v>3502</v>
      </c>
      <c r="Q43" s="1" t="s">
        <v>454</v>
      </c>
      <c r="R43" s="57" t="s">
        <v>3498</v>
      </c>
    </row>
    <row r="44" spans="1:18" ht="58.5" thickBot="1" x14ac:dyDescent="0.4">
      <c r="A44" s="3" t="s">
        <v>3503</v>
      </c>
      <c r="B44" s="1" t="s">
        <v>3042</v>
      </c>
      <c r="C44" s="1" t="s">
        <v>3504</v>
      </c>
      <c r="D44" s="1" t="s">
        <v>3505</v>
      </c>
      <c r="E44" s="1" t="s">
        <v>219</v>
      </c>
      <c r="F44" s="1" t="s">
        <v>15</v>
      </c>
      <c r="G44" s="1" t="s">
        <v>1405</v>
      </c>
      <c r="H44" s="1" t="s">
        <v>928</v>
      </c>
      <c r="I44" s="1" t="s">
        <v>928</v>
      </c>
      <c r="J44" s="1" t="s">
        <v>928</v>
      </c>
      <c r="K44" s="2" t="s">
        <v>3506</v>
      </c>
      <c r="L44" s="1" t="s">
        <v>3507</v>
      </c>
      <c r="M44" s="1" t="s">
        <v>3218</v>
      </c>
      <c r="N44" s="1" t="s">
        <v>3508</v>
      </c>
      <c r="O44" s="1" t="s">
        <v>3509</v>
      </c>
      <c r="P44" s="1" t="s">
        <v>3510</v>
      </c>
      <c r="Q44" s="1" t="s">
        <v>454</v>
      </c>
      <c r="R44" s="57" t="s">
        <v>3511</v>
      </c>
    </row>
    <row r="45" spans="1:18" ht="58.5" thickBot="1" x14ac:dyDescent="0.4">
      <c r="A45" s="3" t="s">
        <v>3512</v>
      </c>
      <c r="B45" s="1" t="s">
        <v>3042</v>
      </c>
      <c r="C45" s="1" t="s">
        <v>3513</v>
      </c>
      <c r="D45" s="1" t="s">
        <v>3514</v>
      </c>
      <c r="E45" s="1" t="s">
        <v>3515</v>
      </c>
      <c r="F45" s="1" t="s">
        <v>15</v>
      </c>
      <c r="G45" s="1" t="s">
        <v>1422</v>
      </c>
      <c r="H45" s="1" t="s">
        <v>928</v>
      </c>
      <c r="I45" s="1" t="s">
        <v>928</v>
      </c>
      <c r="J45" s="1" t="s">
        <v>928</v>
      </c>
      <c r="K45" s="2" t="s">
        <v>3516</v>
      </c>
      <c r="L45" s="1" t="s">
        <v>3517</v>
      </c>
      <c r="M45" s="1" t="s">
        <v>3218</v>
      </c>
      <c r="N45" s="1" t="s">
        <v>3518</v>
      </c>
      <c r="O45" s="1" t="s">
        <v>3519</v>
      </c>
      <c r="P45" s="1" t="s">
        <v>3382</v>
      </c>
      <c r="Q45" s="1" t="s">
        <v>454</v>
      </c>
      <c r="R45" s="57" t="s">
        <v>3520</v>
      </c>
    </row>
    <row r="46" spans="1:18" ht="58.5" thickBot="1" x14ac:dyDescent="0.4">
      <c r="A46" s="3" t="s">
        <v>1408</v>
      </c>
      <c r="B46" s="1" t="s">
        <v>3042</v>
      </c>
      <c r="C46" s="1" t="s">
        <v>3521</v>
      </c>
      <c r="D46" s="1" t="s">
        <v>3522</v>
      </c>
      <c r="E46" s="1" t="s">
        <v>414</v>
      </c>
      <c r="F46" s="1" t="s">
        <v>15</v>
      </c>
      <c r="G46" s="1" t="s">
        <v>928</v>
      </c>
      <c r="H46" s="1" t="s">
        <v>3523</v>
      </c>
      <c r="I46" s="1" t="s">
        <v>928</v>
      </c>
      <c r="J46" s="1" t="s">
        <v>928</v>
      </c>
      <c r="K46" s="2" t="s">
        <v>3524</v>
      </c>
      <c r="L46" s="1" t="s">
        <v>3468</v>
      </c>
      <c r="M46" s="1" t="s">
        <v>3380</v>
      </c>
      <c r="N46" s="1" t="s">
        <v>3525</v>
      </c>
      <c r="O46" s="1" t="s">
        <v>3526</v>
      </c>
      <c r="P46" s="1" t="s">
        <v>3382</v>
      </c>
      <c r="Q46" s="1" t="s">
        <v>454</v>
      </c>
      <c r="R46" s="57" t="s">
        <v>3527</v>
      </c>
    </row>
    <row r="47" spans="1:18" ht="58.5" thickBot="1" x14ac:dyDescent="0.4">
      <c r="A47" s="3" t="s">
        <v>3528</v>
      </c>
      <c r="B47" s="1" t="s">
        <v>3042</v>
      </c>
      <c r="C47" s="1" t="s">
        <v>3529</v>
      </c>
      <c r="D47" s="1" t="s">
        <v>388</v>
      </c>
      <c r="E47" s="1" t="s">
        <v>389</v>
      </c>
      <c r="F47" s="1" t="s">
        <v>15</v>
      </c>
      <c r="G47" s="1" t="s">
        <v>3530</v>
      </c>
      <c r="H47" s="1" t="s">
        <v>3531</v>
      </c>
      <c r="I47" s="2" t="s">
        <v>799</v>
      </c>
      <c r="J47" s="2" t="s">
        <v>3532</v>
      </c>
      <c r="K47" s="2" t="s">
        <v>3533</v>
      </c>
      <c r="L47" s="1" t="s">
        <v>3534</v>
      </c>
      <c r="M47" s="1" t="s">
        <v>3368</v>
      </c>
      <c r="N47" s="1" t="s">
        <v>3535</v>
      </c>
      <c r="O47" s="1" t="s">
        <v>3536</v>
      </c>
      <c r="P47" s="1" t="s">
        <v>3537</v>
      </c>
      <c r="Q47" s="1" t="s">
        <v>454</v>
      </c>
      <c r="R47" s="57" t="s">
        <v>3538</v>
      </c>
    </row>
    <row r="48" spans="1:18" ht="39" thickBot="1" x14ac:dyDescent="0.4">
      <c r="A48" s="3" t="s">
        <v>1416</v>
      </c>
      <c r="B48" s="1" t="s">
        <v>3042</v>
      </c>
      <c r="C48" s="1" t="s">
        <v>3539</v>
      </c>
      <c r="D48" s="1" t="s">
        <v>3540</v>
      </c>
      <c r="E48" s="1" t="s">
        <v>257</v>
      </c>
      <c r="F48" s="1" t="s">
        <v>15</v>
      </c>
      <c r="G48" s="1" t="s">
        <v>3541</v>
      </c>
      <c r="H48" s="1" t="s">
        <v>3542</v>
      </c>
      <c r="I48" s="1" t="s">
        <v>928</v>
      </c>
      <c r="J48" s="1" t="s">
        <v>928</v>
      </c>
      <c r="K48" s="1" t="s">
        <v>928</v>
      </c>
      <c r="L48" s="1" t="s">
        <v>3544</v>
      </c>
      <c r="M48" s="1" t="s">
        <v>3380</v>
      </c>
      <c r="N48" s="1" t="s">
        <v>3545</v>
      </c>
      <c r="O48" s="1" t="s">
        <v>3546</v>
      </c>
      <c r="P48" s="1" t="s">
        <v>3547</v>
      </c>
      <c r="Q48" s="1" t="s">
        <v>454</v>
      </c>
      <c r="R48" s="57" t="s">
        <v>3543</v>
      </c>
    </row>
    <row r="49" spans="1:18" ht="58.5" thickBot="1" x14ac:dyDescent="0.4">
      <c r="A49" s="3" t="s">
        <v>3548</v>
      </c>
      <c r="B49" s="1" t="s">
        <v>3042</v>
      </c>
      <c r="C49" s="1" t="s">
        <v>3549</v>
      </c>
      <c r="D49" s="1" t="s">
        <v>3550</v>
      </c>
      <c r="E49" s="1" t="s">
        <v>3551</v>
      </c>
      <c r="F49" s="1" t="s">
        <v>15</v>
      </c>
      <c r="G49" s="1" t="s">
        <v>3552</v>
      </c>
      <c r="H49" s="1" t="s">
        <v>1176</v>
      </c>
      <c r="I49" s="2" t="s">
        <v>3553</v>
      </c>
      <c r="J49" s="2" t="s">
        <v>3554</v>
      </c>
      <c r="K49" s="2" t="s">
        <v>3555</v>
      </c>
      <c r="L49" s="1" t="s">
        <v>3556</v>
      </c>
      <c r="M49" s="1" t="s">
        <v>3218</v>
      </c>
      <c r="N49" s="1" t="s">
        <v>3557</v>
      </c>
      <c r="O49" s="1" t="s">
        <v>3558</v>
      </c>
      <c r="P49" s="1" t="s">
        <v>3559</v>
      </c>
      <c r="Q49" s="1" t="s">
        <v>454</v>
      </c>
      <c r="R49" s="57" t="s">
        <v>1177</v>
      </c>
    </row>
    <row r="50" spans="1:18" ht="58.5" thickBot="1" x14ac:dyDescent="0.4">
      <c r="A50" s="3" t="s">
        <v>3560</v>
      </c>
      <c r="B50" s="1" t="s">
        <v>3042</v>
      </c>
      <c r="C50" s="1" t="s">
        <v>3561</v>
      </c>
      <c r="D50" s="1" t="s">
        <v>3562</v>
      </c>
      <c r="E50" s="1" t="s">
        <v>3563</v>
      </c>
      <c r="F50" s="1" t="s">
        <v>15</v>
      </c>
      <c r="G50" s="1" t="s">
        <v>1405</v>
      </c>
      <c r="H50" s="1" t="s">
        <v>1430</v>
      </c>
      <c r="I50" s="1" t="s">
        <v>928</v>
      </c>
      <c r="J50" s="2" t="s">
        <v>3564</v>
      </c>
      <c r="K50" s="2" t="s">
        <v>3565</v>
      </c>
      <c r="L50" s="1" t="s">
        <v>3566</v>
      </c>
      <c r="M50" s="1" t="s">
        <v>3128</v>
      </c>
      <c r="N50" s="1" t="s">
        <v>3267</v>
      </c>
      <c r="O50" s="1" t="s">
        <v>3567</v>
      </c>
      <c r="P50" s="1" t="s">
        <v>3568</v>
      </c>
      <c r="Q50" s="1" t="s">
        <v>454</v>
      </c>
      <c r="R50" s="57" t="s">
        <v>3319</v>
      </c>
    </row>
    <row r="51" spans="1:18" ht="87.5" thickBot="1" x14ac:dyDescent="0.4">
      <c r="A51" s="3" t="s">
        <v>3569</v>
      </c>
      <c r="B51" s="1" t="s">
        <v>3042</v>
      </c>
      <c r="C51" s="1" t="s">
        <v>3570</v>
      </c>
      <c r="D51" s="1" t="s">
        <v>3571</v>
      </c>
      <c r="E51" s="1" t="s">
        <v>2401</v>
      </c>
      <c r="F51" s="1" t="s">
        <v>15</v>
      </c>
      <c r="G51" s="1" t="s">
        <v>928</v>
      </c>
      <c r="H51" s="1" t="s">
        <v>3572</v>
      </c>
      <c r="I51" s="2" t="s">
        <v>3573</v>
      </c>
      <c r="J51" s="1" t="s">
        <v>928</v>
      </c>
      <c r="K51" s="1" t="s">
        <v>928</v>
      </c>
      <c r="L51" s="1" t="s">
        <v>3574</v>
      </c>
      <c r="M51" s="1" t="s">
        <v>3575</v>
      </c>
      <c r="N51" s="1" t="s">
        <v>3476</v>
      </c>
      <c r="O51" s="1" t="s">
        <v>3576</v>
      </c>
      <c r="P51" s="1" t="s">
        <v>1910</v>
      </c>
      <c r="Q51" s="1" t="s">
        <v>1319</v>
      </c>
      <c r="R51" s="57" t="s">
        <v>3577</v>
      </c>
    </row>
    <row r="55" spans="1:18" x14ac:dyDescent="0.35">
      <c r="A55" s="23" t="s">
        <v>1229</v>
      </c>
      <c r="B55" s="23">
        <f>COUNTIF($Q$2:$Q$51,"Yes")</f>
        <v>49</v>
      </c>
    </row>
    <row r="56" spans="1:18" x14ac:dyDescent="0.35">
      <c r="A56" s="23" t="s">
        <v>459</v>
      </c>
      <c r="B56" s="23">
        <f>COUNTIF($G$2:$G$51,"N/A")</f>
        <v>2</v>
      </c>
    </row>
    <row r="57" spans="1:18" x14ac:dyDescent="0.35">
      <c r="A57" s="23" t="s">
        <v>458</v>
      </c>
      <c r="B57" s="23">
        <f>COUNTIF($H$2:$H$51,"N/A")</f>
        <v>7</v>
      </c>
    </row>
    <row r="58" spans="1:18" x14ac:dyDescent="0.35">
      <c r="A58" s="23" t="s">
        <v>457</v>
      </c>
      <c r="B58" s="23">
        <f>COUNTIF($I$2:$I$51,"N/A")</f>
        <v>18</v>
      </c>
    </row>
  </sheetData>
  <hyperlinks>
    <hyperlink ref="I2" r:id="rId1" xr:uid="{5D430EA2-DCA9-41A3-ACC6-63CAA0F5E136}"/>
    <hyperlink ref="J2" r:id="rId2" xr:uid="{97EB1CF5-2E5F-4DBD-BF49-FFA1CBF58227}"/>
    <hyperlink ref="K2" r:id="rId3" xr:uid="{101D4B07-D05D-4DFB-9AB3-C15DC12AC341}"/>
    <hyperlink ref="R2" r:id="rId4" xr:uid="{8E223373-296A-46D2-B70E-17B15000D0AF}"/>
    <hyperlink ref="I3" r:id="rId5" xr:uid="{AB7D222B-CB2F-4146-B627-53CE1A6841AF}"/>
    <hyperlink ref="J3" r:id="rId6" xr:uid="{4DC53CC5-93BE-4705-8DC6-035AADB4E3D5}"/>
    <hyperlink ref="K3" r:id="rId7" xr:uid="{60546673-662F-444E-A45E-10FCAA93B592}"/>
    <hyperlink ref="R3" r:id="rId8" xr:uid="{8F02883C-C44A-4985-8681-3D596FD316A4}"/>
    <hyperlink ref="I4" r:id="rId9" xr:uid="{0C5D96B0-0B05-479D-899E-993F46BF7430}"/>
    <hyperlink ref="J4" r:id="rId10" xr:uid="{177E02FE-8216-4611-9BB9-744BFB6B4707}"/>
    <hyperlink ref="K4" r:id="rId11" xr:uid="{8904DA27-30C2-433A-B8B5-970932CC59DA}"/>
    <hyperlink ref="R4" r:id="rId12" xr:uid="{90F9660A-D932-4E7A-81F8-30597EF3BBF5}"/>
    <hyperlink ref="I5" r:id="rId13" xr:uid="{43351DE9-5E9E-455B-B387-B35C573E18AD}"/>
    <hyperlink ref="J5" r:id="rId14" xr:uid="{F3EC5BB7-1A38-4A3A-BD5C-D6812942CBBE}"/>
    <hyperlink ref="K5" r:id="rId15" xr:uid="{606FD942-7657-4CA5-BD81-1AA734A2D0BC}"/>
    <hyperlink ref="R5" r:id="rId16" xr:uid="{622A8554-7FC9-4EC9-9E5B-9A0F372B7B57}"/>
    <hyperlink ref="I6" r:id="rId17" xr:uid="{DB1704A0-E34C-4835-860A-BE7BFE076D51}"/>
    <hyperlink ref="J6" r:id="rId18" xr:uid="{E5BC7173-5265-4BE5-88A1-28D2E3814D42}"/>
    <hyperlink ref="K6" r:id="rId19" xr:uid="{4CC85A5C-4423-407B-810F-04DAFB3EF3D6}"/>
    <hyperlink ref="R6" r:id="rId20" xr:uid="{2A799392-066B-4994-AD97-EAAAA4C2205C}"/>
    <hyperlink ref="I7" r:id="rId21" xr:uid="{D97B3276-EF09-4918-A538-B6CE2CCDB797}"/>
    <hyperlink ref="J7" r:id="rId22" xr:uid="{636DA645-D78C-452E-BD3A-712593DD087C}"/>
    <hyperlink ref="K7" r:id="rId23" xr:uid="{2A294F79-C000-486E-8B88-FE7E27E3E1F8}"/>
    <hyperlink ref="R7" r:id="rId24" xr:uid="{46E33150-6E1A-46AF-B6A1-B1F617BB7C5B}"/>
    <hyperlink ref="I8" r:id="rId25" xr:uid="{4A37F42A-B871-4DB8-AA9F-BF3A30B30572}"/>
    <hyperlink ref="J8" r:id="rId26" xr:uid="{02564641-CD7B-4F86-898F-59CD2E6A0779}"/>
    <hyperlink ref="K8" r:id="rId27" xr:uid="{AF284833-1EE6-4AF6-99D1-123FE739C331}"/>
    <hyperlink ref="R8" r:id="rId28" xr:uid="{D0A05FAB-8E93-4E29-9D6B-F3333C9ECAB0}"/>
    <hyperlink ref="I9" r:id="rId29" xr:uid="{0AE71951-3D03-414A-969C-8FB188137C9C}"/>
    <hyperlink ref="J9" r:id="rId30" xr:uid="{376E6336-65AF-4D04-9166-2AB34EBFE1B5}"/>
    <hyperlink ref="K9" r:id="rId31" xr:uid="{7FCEA5BA-11AE-4953-A687-07FF0F665EAD}"/>
    <hyperlink ref="R9" r:id="rId32" xr:uid="{F5ACAEED-5A79-4E4F-9484-AA43E1F73755}"/>
    <hyperlink ref="J10" r:id="rId33" xr:uid="{3AB88FDA-79B9-4171-B70D-BCA6556E499C}"/>
    <hyperlink ref="K10" r:id="rId34" xr:uid="{F8AEDD69-F018-43FE-A09C-2B8E86FE2EE8}"/>
    <hyperlink ref="R10" r:id="rId35" xr:uid="{A8A8E512-85A9-4E52-82FB-6CB7F0E2BD71}"/>
    <hyperlink ref="I11" r:id="rId36" xr:uid="{304BC592-8C25-4870-A742-C3113927BBCF}"/>
    <hyperlink ref="J11" r:id="rId37" xr:uid="{0DC0F5C2-D902-47E3-9858-B157BDDAFC27}"/>
    <hyperlink ref="K11" r:id="rId38" xr:uid="{73195CB4-579B-4411-80E4-84908892AAEF}"/>
    <hyperlink ref="R11" r:id="rId39" xr:uid="{BFC260B3-8705-459B-A083-5BB935AD1A89}"/>
    <hyperlink ref="I12" r:id="rId40" display="http://www.advaitsports.com/" xr:uid="{42EE779B-FF81-463B-9D3B-B9B511CB532C}"/>
    <hyperlink ref="J12" r:id="rId41" xr:uid="{43355F1D-E1C7-46D5-AA27-F997733E3FFF}"/>
    <hyperlink ref="K12" r:id="rId42" xr:uid="{57029809-B84A-411D-A70F-49AC4301EE7D}"/>
    <hyperlink ref="R12" r:id="rId43" xr:uid="{B0B82163-2E3E-4722-9251-256B662DF15A}"/>
    <hyperlink ref="J13" r:id="rId44" xr:uid="{BB62258B-A533-41EF-9DAF-F9B76DED124E}"/>
    <hyperlink ref="K13" r:id="rId45" xr:uid="{15464F44-7B23-4DEA-BD42-C9A49FDC1BDF}"/>
    <hyperlink ref="R13" r:id="rId46" xr:uid="{182D7ABB-D2E1-459B-A342-7CD78FBD0337}"/>
    <hyperlink ref="I14" r:id="rId47" xr:uid="{270DEEF9-8ED1-44ED-A11D-B24A4FC59D3C}"/>
    <hyperlink ref="J14" r:id="rId48" xr:uid="{5277F748-AAED-4ECB-9B65-84FD9164AC67}"/>
    <hyperlink ref="K14" r:id="rId49" xr:uid="{838FA1EB-F103-426A-A029-633083A21F9E}"/>
    <hyperlink ref="R14" r:id="rId50" xr:uid="{55A04DBC-8F5D-4721-A0E1-3F50147A0E58}"/>
    <hyperlink ref="I15" r:id="rId51" xr:uid="{371CB1EC-3365-49C6-8519-796B3F431C69}"/>
    <hyperlink ref="J15" r:id="rId52" xr:uid="{2D6A9EA2-2AA6-45F1-8D59-5E7374F65654}"/>
    <hyperlink ref="K15" r:id="rId53" xr:uid="{5F71F117-6122-41EB-8401-C7ECFC888AC8}"/>
    <hyperlink ref="R15" r:id="rId54" xr:uid="{DF337C9D-1514-48AB-B1D2-2CEE4E8DA64A}"/>
    <hyperlink ref="I16" r:id="rId55" xr:uid="{60C1D16F-027F-4A7B-93E1-6093A6757CEB}"/>
    <hyperlink ref="J16" r:id="rId56" xr:uid="{57C5126E-BC00-4398-8FD4-F439E8AE4766}"/>
    <hyperlink ref="K16" r:id="rId57" xr:uid="{66E82298-5DDD-4389-ADA2-481B200D45B2}"/>
    <hyperlink ref="R16" r:id="rId58" xr:uid="{BD6E2719-1F0E-4292-9B26-8F050CD4E3B7}"/>
    <hyperlink ref="I17" r:id="rId59" xr:uid="{4D7A25FD-8456-436C-A81B-B2CB3698ABE7}"/>
    <hyperlink ref="J17" r:id="rId60" xr:uid="{AC9D6474-6B4E-4EF4-BD74-2D837DAC8D9C}"/>
    <hyperlink ref="K17" r:id="rId61" xr:uid="{983EFC42-6C02-4F58-B462-5213D1AA5513}"/>
    <hyperlink ref="R17" r:id="rId62" xr:uid="{7D60A462-E1E9-4FA7-89C4-48162C2CAA74}"/>
    <hyperlink ref="I18" r:id="rId63" xr:uid="{07BAC724-A1D6-4E02-8F0E-FD2BB52B9F0E}"/>
    <hyperlink ref="J18" r:id="rId64" xr:uid="{CBE3842F-F5B5-48A8-9831-95577CB08230}"/>
    <hyperlink ref="K18" r:id="rId65" xr:uid="{4ABD36AC-3472-4AB1-B2FB-142A5729D6C5}"/>
    <hyperlink ref="R18" r:id="rId66" xr:uid="{AB87721E-DBF4-4C8C-A702-524AB76E3DD3}"/>
    <hyperlink ref="I19" r:id="rId67" xr:uid="{68A53F4C-4D12-4BAC-9AE3-C0DC6C14108D}"/>
    <hyperlink ref="J19" r:id="rId68" xr:uid="{CECD338F-6A67-47B2-99EA-8DDC7C37E5D6}"/>
    <hyperlink ref="K19" r:id="rId69" xr:uid="{01407801-B61B-4AF3-8425-FCD585D01EB7}"/>
    <hyperlink ref="R19" r:id="rId70" xr:uid="{DCCF5A1B-99CF-4E6B-9C38-61CB84C2C33F}"/>
    <hyperlink ref="I20" r:id="rId71" xr:uid="{9EFDCB7F-791A-4095-AA11-9A9A87C720CE}"/>
    <hyperlink ref="J20" r:id="rId72" xr:uid="{E678D437-129A-428F-87EE-C803AD19649F}"/>
    <hyperlink ref="K20" r:id="rId73" xr:uid="{ABC1B937-5EF0-441B-BAFC-7D4904BA70F2}"/>
    <hyperlink ref="R20" r:id="rId74" xr:uid="{6EBA016F-D22A-4725-BC0B-EEE67685BC5F}"/>
    <hyperlink ref="I21" r:id="rId75" xr:uid="{7B9E309F-8D8B-43B6-AC93-D8C78AE3BFA8}"/>
    <hyperlink ref="J21" r:id="rId76" xr:uid="{62FBB3F0-E860-49C0-A771-3D64E160141D}"/>
    <hyperlink ref="K21" r:id="rId77" xr:uid="{E1A433E5-06DB-46DB-A963-9F26F22F2C9A}"/>
    <hyperlink ref="R21" r:id="rId78" xr:uid="{084FB7C9-E9FD-4D15-9452-64D325F79E68}"/>
    <hyperlink ref="I22" r:id="rId79" xr:uid="{36A79D0C-9506-412F-86AA-B1A0A3CDCDC4}"/>
    <hyperlink ref="J22" r:id="rId80" xr:uid="{A0A6E93C-2FF8-4F45-8D24-E4CDB77181EB}"/>
    <hyperlink ref="K22" r:id="rId81" xr:uid="{D471740C-2673-471D-826C-1A695791BD55}"/>
    <hyperlink ref="R22" r:id="rId82" xr:uid="{3FCF84F0-D56E-4C2B-B47D-DDB240C1989D}"/>
    <hyperlink ref="I23" r:id="rId83" xr:uid="{D722D1EA-1F26-486C-A69B-0F527135F838}"/>
    <hyperlink ref="J23" r:id="rId84" xr:uid="{07409C8E-E8D4-4C36-81B9-81E6FF733AD4}"/>
    <hyperlink ref="K23" r:id="rId85" xr:uid="{09828580-60ED-49AF-B4DB-0642216C66DD}"/>
    <hyperlink ref="R23" r:id="rId86" xr:uid="{B765FD68-6B3C-46D0-A408-F676EC624B3E}"/>
    <hyperlink ref="I24" r:id="rId87" xr:uid="{7A589D14-D6E9-480C-97C0-4976F1B8575A}"/>
    <hyperlink ref="J24" r:id="rId88" xr:uid="{BCFAEA57-11A5-4EB1-B29F-CAD3960FACE4}"/>
    <hyperlink ref="K24" r:id="rId89" xr:uid="{231677CA-FF81-484D-9A1C-2B8346C99FC8}"/>
    <hyperlink ref="R24" r:id="rId90" xr:uid="{2C075E7B-1EF3-4E3B-A3AB-06148E2EBE83}"/>
    <hyperlink ref="J25" r:id="rId91" xr:uid="{0A0151C3-F155-4A7C-B4FA-B4E34C5B1A7F}"/>
    <hyperlink ref="K25" r:id="rId92" xr:uid="{6DFC78C0-2B58-40C2-8D47-D570C78E36CE}"/>
    <hyperlink ref="R25" r:id="rId93" xr:uid="{A17CD45C-4C4B-4177-8901-28B293CDF195}"/>
    <hyperlink ref="J26" r:id="rId94" xr:uid="{C33B5B40-48CC-49A1-9D83-2527845757F9}"/>
    <hyperlink ref="K26" r:id="rId95" xr:uid="{E7CF4771-87DF-4C38-86BC-3DFD9A4BD289}"/>
    <hyperlink ref="R26" r:id="rId96" xr:uid="{79DFB7D7-4B23-416F-A459-559C07FC186C}"/>
    <hyperlink ref="J27" r:id="rId97" xr:uid="{DA5336BE-C04B-4D6E-AA8D-DCAD5033788C}"/>
    <hyperlink ref="K27" r:id="rId98" xr:uid="{E1C2F876-B12D-48E2-AF61-B6CB466CEE9C}"/>
    <hyperlink ref="R27" r:id="rId99" xr:uid="{EBA3F07D-C382-464E-B890-0DD2B2D81C6F}"/>
    <hyperlink ref="I28" r:id="rId100" xr:uid="{101A6D14-3CBA-4067-9EC0-32BD61F1B9E0}"/>
    <hyperlink ref="J28" r:id="rId101" xr:uid="{2A07D272-69A9-4CCB-99A3-FB1BF578287A}"/>
    <hyperlink ref="K28" r:id="rId102" xr:uid="{8BABFF08-054D-441B-BC0A-FD2A295991D8}"/>
    <hyperlink ref="R28" r:id="rId103" xr:uid="{9EF128AE-3471-45B5-A0D4-BECBAA7069E4}"/>
    <hyperlink ref="I29" r:id="rId104" xr:uid="{20852F9C-5281-439A-BCFC-8527C7D6747B}"/>
    <hyperlink ref="J29" r:id="rId105" xr:uid="{9EBCF02A-2F99-468E-AE45-8EFB091DD91C}"/>
    <hyperlink ref="K29" r:id="rId106" xr:uid="{97D9BC79-2577-44B9-8589-7401020E3971}"/>
    <hyperlink ref="R29" r:id="rId107" xr:uid="{F5D17DB7-4E8A-4166-B215-891695EF6DEC}"/>
    <hyperlink ref="I30" r:id="rId108" xr:uid="{7143F904-7F27-4044-B1A6-E2E271B856EA}"/>
    <hyperlink ref="J30" r:id="rId109" xr:uid="{79B655B1-6AC4-4687-9F49-3BE6E87A055E}"/>
    <hyperlink ref="K30" r:id="rId110" xr:uid="{C9E66B70-7497-4519-B11B-E541BCCD0A65}"/>
    <hyperlink ref="R30" r:id="rId111" xr:uid="{9AAD5A34-3EF9-4537-B690-5205C2B052E4}"/>
    <hyperlink ref="J31" r:id="rId112" xr:uid="{17462DBF-FEC0-4D2A-815F-AF26881BFA91}"/>
    <hyperlink ref="K31" r:id="rId113" xr:uid="{7693F208-C7C2-4A26-A6C0-9927A9971606}"/>
    <hyperlink ref="R31" r:id="rId114" xr:uid="{0C419E06-74D2-4B1F-A96B-3B666993ACD2}"/>
    <hyperlink ref="J32" r:id="rId115" xr:uid="{0D9C17DB-B52F-4926-A7E2-9FBE5900AD98}"/>
    <hyperlink ref="K32" r:id="rId116" xr:uid="{1F323DB3-1792-44B8-926B-0614E74B97EE}"/>
    <hyperlink ref="R32" r:id="rId117" xr:uid="{4E1DE5B3-4FC9-41E4-B81D-A01BBB283AAF}"/>
    <hyperlink ref="J33" r:id="rId118" xr:uid="{D79A1502-0841-489D-B266-55BD50EE4E40}"/>
    <hyperlink ref="K33" r:id="rId119" xr:uid="{6721CED6-58F5-4B8D-95D1-654BB5B7191F}"/>
    <hyperlink ref="R33" r:id="rId120" xr:uid="{F27724C8-8D37-455C-AA28-5E776E920187}"/>
    <hyperlink ref="J34" r:id="rId121" xr:uid="{48D5EE91-4700-4EA2-A684-03B3C67BE69D}"/>
    <hyperlink ref="K34" r:id="rId122" xr:uid="{EF56CFF1-DECD-49BD-A0E3-B1F71D9E5E40}"/>
    <hyperlink ref="R34" r:id="rId123" xr:uid="{05014333-D222-40D1-A5D1-E65278C5253F}"/>
    <hyperlink ref="J35" r:id="rId124" xr:uid="{5DFD51FE-6D2F-4E4D-873D-87717BCC3986}"/>
    <hyperlink ref="K35" r:id="rId125" xr:uid="{31E94A9F-8F28-4949-A54A-DA4E42CC535B}"/>
    <hyperlink ref="R35" r:id="rId126" xr:uid="{27B1517A-A4DE-45F1-96DC-0839D8A6A2B4}"/>
    <hyperlink ref="J36" r:id="rId127" xr:uid="{6A8527F0-4E71-4CE3-BDB2-D52629206075}"/>
    <hyperlink ref="K36" r:id="rId128" xr:uid="{5848A464-4C06-48DD-87D7-9AF0F0902D9C}"/>
    <hyperlink ref="R36" r:id="rId129" xr:uid="{780B0620-2494-454F-80AD-33E2F625842F}"/>
    <hyperlink ref="J37" r:id="rId130" xr:uid="{8231B9B0-A92C-4DA4-BEAE-1B8B60BA0B94}"/>
    <hyperlink ref="K37" r:id="rId131" xr:uid="{94DA0185-8AFB-4F84-985B-27B0DFFA63EC}"/>
    <hyperlink ref="R37" r:id="rId132" xr:uid="{0B6B1B0A-9FCA-428B-B2E1-F3778DA3B2FA}"/>
    <hyperlink ref="I38" r:id="rId133" xr:uid="{6A66567D-7922-4576-886D-3688B3D3FF0F}"/>
    <hyperlink ref="J38" r:id="rId134" xr:uid="{283D5425-3B07-42C5-8C3B-74FCFB46FEFB}"/>
    <hyperlink ref="K38" r:id="rId135" xr:uid="{47865837-E5EE-4795-B298-C28B3641C021}"/>
    <hyperlink ref="R38" r:id="rId136" xr:uid="{8CFF5174-3513-4795-B4AC-5173F4320C58}"/>
    <hyperlink ref="I39" r:id="rId137" xr:uid="{99B1402B-0850-448C-B34C-1420856E3EF5}"/>
    <hyperlink ref="J39" r:id="rId138" xr:uid="{6DF4C005-F098-4954-972A-9FE8989EDD0B}"/>
    <hyperlink ref="K39" r:id="rId139" xr:uid="{BBF13432-A9E5-48A6-8AA8-49B3A1DE25C9}"/>
    <hyperlink ref="R39" r:id="rId140" xr:uid="{78D3EAD2-F2CC-4ED9-AAC9-3E4757221376}"/>
    <hyperlink ref="I40" r:id="rId141" xr:uid="{82B217CF-93B7-478D-9097-17B7F2DBFC6A}"/>
    <hyperlink ref="K40" r:id="rId142" xr:uid="{AD9546B6-A612-4165-9A9A-DAD2100A1036}"/>
    <hyperlink ref="R40" r:id="rId143" xr:uid="{5FAAB55A-40FE-4180-8695-08A25F1A101C}"/>
    <hyperlink ref="J41" r:id="rId144" xr:uid="{8B094231-C41C-4AC4-85AB-6696EB430B47}"/>
    <hyperlink ref="K41" r:id="rId145" xr:uid="{4B648B90-51C5-44F7-9BF6-BCCA8977E8D2}"/>
    <hyperlink ref="R41" r:id="rId146" xr:uid="{D69E1C8B-5AD8-4005-9481-9ACCD1C01F88}"/>
    <hyperlink ref="I42" r:id="rId147" xr:uid="{42972097-24BA-4D00-A34F-173D9C3D4595}"/>
    <hyperlink ref="J42" r:id="rId148" xr:uid="{2256873E-5E88-46C8-8170-371342AAF250}"/>
    <hyperlink ref="K42" r:id="rId149" xr:uid="{DCADB578-D6F2-47F2-B3CC-EE678C05F080}"/>
    <hyperlink ref="R42" r:id="rId150" xr:uid="{E2EF12E6-36B0-4E91-A5D2-FC9038DC6679}"/>
    <hyperlink ref="I43" r:id="rId151" xr:uid="{FF582049-4B28-43FD-ACDD-7192CF544DA1}"/>
    <hyperlink ref="J43" r:id="rId152" xr:uid="{3AE44849-8EDC-4DCB-983D-8111F92BFAAF}"/>
    <hyperlink ref="K43" r:id="rId153" xr:uid="{7EDE1CA2-45D3-4DA0-BA93-7BC21FEE37AD}"/>
    <hyperlink ref="R43" r:id="rId154" xr:uid="{87AAE52D-B98F-49E2-BD1F-E7D683C0A539}"/>
    <hyperlink ref="K44" r:id="rId155" xr:uid="{BA82A19A-96B6-401D-8589-CD1F5AF6DB30}"/>
    <hyperlink ref="R44" r:id="rId156" xr:uid="{8A35B3D7-0427-4F91-9B21-A749FF87A659}"/>
    <hyperlink ref="K45" r:id="rId157" xr:uid="{FF7EF93F-93A8-4A47-9DE7-80C21B2E90A9}"/>
    <hyperlink ref="R45" r:id="rId158" xr:uid="{4B4A3921-1C50-4934-A6F9-218383DB8F9D}"/>
    <hyperlink ref="K46" r:id="rId159" xr:uid="{F9447A1A-F419-4CBD-87C8-FF0978CD2AD5}"/>
    <hyperlink ref="R46" r:id="rId160" xr:uid="{F6556654-D7DA-4A4A-98B5-01F0316A1C16}"/>
    <hyperlink ref="I47" r:id="rId161" xr:uid="{5019A9F1-71EB-4D70-8A34-D140B008444E}"/>
    <hyperlink ref="J47" r:id="rId162" xr:uid="{9A36BE7F-9C3A-4C58-AA22-5A232E40EBF8}"/>
    <hyperlink ref="K47" r:id="rId163" xr:uid="{BF5E4FA5-A8A8-4A94-8612-725F22C0C141}"/>
    <hyperlink ref="R47" r:id="rId164" xr:uid="{5B41E7AF-ECB0-4DD9-B517-F4EA7F91C6A8}"/>
    <hyperlink ref="R48" r:id="rId165" xr:uid="{3D74EBA2-BB9F-41E3-BC9B-21C35FE011BD}"/>
    <hyperlink ref="I49" r:id="rId166" xr:uid="{CF2CF025-6131-4612-8919-9B56304D4616}"/>
    <hyperlink ref="J49" r:id="rId167" xr:uid="{51AAE890-5167-4880-83F1-5E934F1C12BC}"/>
    <hyperlink ref="K49" r:id="rId168" xr:uid="{EF337F60-0C74-454C-ACB9-5F36496854AE}"/>
    <hyperlink ref="R49" r:id="rId169" xr:uid="{6F9E7890-9739-40FD-926F-2B4582C85ECC}"/>
    <hyperlink ref="J50" r:id="rId170" xr:uid="{0A45E140-53C9-4F48-AF23-8C855EBA9900}"/>
    <hyperlink ref="K50" r:id="rId171" xr:uid="{AC467EEE-3B28-4EC9-9FD4-BE5C34A487D0}"/>
    <hyperlink ref="R50" r:id="rId172" xr:uid="{47632D78-F427-4213-A9CF-6BBFBB989B87}"/>
    <hyperlink ref="I51" r:id="rId173" xr:uid="{1EB4ACB2-F12E-4080-BC99-ACDC838BA292}"/>
    <hyperlink ref="R51" r:id="rId174" xr:uid="{AD6EB84E-7803-452B-9722-D25FBA82E206}"/>
  </hyperlinks>
  <pageMargins left="0.7" right="0.7" top="0.75" bottom="0.75" header="0.3" footer="0.3"/>
  <tableParts count="1">
    <tablePart r:id="rId17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6DEF-8606-40AB-822E-B23242007D7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Amd_Cricket</vt:lpstr>
      <vt:lpstr>Amd_Football</vt:lpstr>
      <vt:lpstr>Amd_Badminton</vt:lpstr>
      <vt:lpstr>Amd_Swimming</vt:lpstr>
      <vt:lpstr>Amd_Tennis</vt:lpstr>
      <vt:lpstr>Amd_Vollyball</vt:lpstr>
      <vt:lpstr>Amd_Basketball</vt:lpstr>
      <vt:lpstr>Amd_Karate</vt:lpstr>
      <vt:lpstr>Amd_Skating</vt:lpstr>
      <vt:lpstr>Amd_Chess</vt:lpstr>
      <vt:lpstr>Amd_Kabaddi</vt:lpstr>
      <vt:lpstr>Amd_Archery</vt:lpstr>
      <vt:lpstr>Amd_Shooting</vt:lpstr>
      <vt:lpstr> Amd_LawnTennis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 Siddhpura</dc:creator>
  <cp:lastModifiedBy>Param Siddhpura</cp:lastModifiedBy>
  <dcterms:created xsi:type="dcterms:W3CDTF">2026-08-03T13:02:32Z</dcterms:created>
  <dcterms:modified xsi:type="dcterms:W3CDTF">2026-08-24T18:04:35Z</dcterms:modified>
</cp:coreProperties>
</file>