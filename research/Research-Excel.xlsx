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4a72f99ba6488e6/Documents/"/>
    </mc:Choice>
  </mc:AlternateContent>
  <xr:revisionPtr revIDLastSave="0" documentId="8_{F4E8ECAC-D339-407F-9EC6-C3D6DFD479BF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Employee_data" sheetId="1" r:id="rId1"/>
    <sheet name="Analysis_emp" sheetId="2" r:id="rId2"/>
    <sheet name="Analysis_Stu" sheetId="3" r:id="rId3"/>
    <sheet name="Student_Data" sheetId="4" r:id="rId4"/>
  </sheets>
  <definedNames>
    <definedName name="_xlchart.v1.0" hidden="1">Analysis_emp!$B$6:$B$14</definedName>
    <definedName name="_xlchart.v1.1" hidden="1">Analysis_emp!$C$5</definedName>
    <definedName name="_xlchart.v1.10" hidden="1">Analysis_Stu!$B$2:$B$11</definedName>
    <definedName name="_xlchart.v1.2" hidden="1">Analysis_emp!$C$6:$C$14</definedName>
    <definedName name="_xlchart.v1.3" hidden="1">Employee_data!$A$3</definedName>
    <definedName name="_xlchart.v1.4" hidden="1">Employee_data!$A$4:$A$28</definedName>
    <definedName name="_xlchart.v1.5" hidden="1">Analysis_Stu!$B$4</definedName>
    <definedName name="_xlchart.v1.6" hidden="1">Analysis_Stu!$B$5:$B$14</definedName>
    <definedName name="_xlchart.v1.7" hidden="1">Analysis_Stu!$C$4</definedName>
    <definedName name="_xlchart.v1.8" hidden="1">Analysis_Stu!$C$5:$C$14</definedName>
    <definedName name="_xlchart.v1.9" hidden="1">Analysis_Stu!$B$1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3" l="1"/>
  <c r="E40" i="3"/>
  <c r="E37" i="3"/>
  <c r="E36" i="3"/>
  <c r="B49" i="3"/>
  <c r="B48" i="3"/>
  <c r="B45" i="3"/>
  <c r="B44" i="3"/>
  <c r="B41" i="3"/>
  <c r="B40" i="3"/>
  <c r="B36" i="3"/>
  <c r="B37" i="3"/>
  <c r="C33" i="3"/>
  <c r="C32" i="3"/>
  <c r="B32" i="3"/>
  <c r="B33" i="3"/>
  <c r="B29" i="3"/>
  <c r="B28" i="3"/>
  <c r="B27" i="3"/>
  <c r="C29" i="3"/>
  <c r="C28" i="3"/>
  <c r="C27" i="3"/>
  <c r="C24" i="3"/>
  <c r="C23" i="3"/>
  <c r="C22" i="3"/>
  <c r="B22" i="3"/>
  <c r="B23" i="3"/>
  <c r="B24" i="3"/>
  <c r="B51" i="3"/>
  <c r="C19" i="3"/>
  <c r="B19" i="3"/>
  <c r="C18" i="3"/>
  <c r="B18" i="3"/>
  <c r="C17" i="3"/>
  <c r="B17" i="3"/>
</calcChain>
</file>

<file path=xl/sharedStrings.xml><?xml version="1.0" encoding="utf-8"?>
<sst xmlns="http://schemas.openxmlformats.org/spreadsheetml/2006/main" count="237" uniqueCount="64">
  <si>
    <t>Gender</t>
  </si>
  <si>
    <t>Income</t>
  </si>
  <si>
    <t>Education</t>
  </si>
  <si>
    <t>Education Level</t>
  </si>
  <si>
    <t>Industry</t>
  </si>
  <si>
    <t>Age</t>
  </si>
  <si>
    <t>Marital Status</t>
  </si>
  <si>
    <t>Employment Status</t>
  </si>
  <si>
    <t>Female</t>
  </si>
  <si>
    <t>Bachelor's</t>
  </si>
  <si>
    <t>Single</t>
  </si>
  <si>
    <t>Employed</t>
  </si>
  <si>
    <t>Technology</t>
  </si>
  <si>
    <t>Male</t>
  </si>
  <si>
    <t>Master's</t>
  </si>
  <si>
    <t>Married</t>
  </si>
  <si>
    <t>Finance</t>
  </si>
  <si>
    <t>High School</t>
  </si>
  <si>
    <t>Unemployed</t>
  </si>
  <si>
    <t>None</t>
  </si>
  <si>
    <t>Doctorate</t>
  </si>
  <si>
    <t>Divorced</t>
  </si>
  <si>
    <t>Healthcare</t>
  </si>
  <si>
    <t>Self-Employed</t>
  </si>
  <si>
    <t>Consulting</t>
  </si>
  <si>
    <t>Associate's</t>
  </si>
  <si>
    <t>Retail</t>
  </si>
  <si>
    <t>Engineering</t>
  </si>
  <si>
    <t>Government</t>
  </si>
  <si>
    <t>Entertainment</t>
  </si>
  <si>
    <t>Nonprofit</t>
  </si>
  <si>
    <t>Construction</t>
  </si>
  <si>
    <t>Bin</t>
  </si>
  <si>
    <t>More</t>
  </si>
  <si>
    <t>Frequency</t>
  </si>
  <si>
    <t>Count</t>
  </si>
  <si>
    <t>StudentID</t>
  </si>
  <si>
    <t>Test1 Score</t>
  </si>
  <si>
    <t>Test2 Score</t>
  </si>
  <si>
    <t xml:space="preserve">Age </t>
  </si>
  <si>
    <t>Funcation</t>
  </si>
  <si>
    <t>Mean</t>
  </si>
  <si>
    <t>Median</t>
  </si>
  <si>
    <t>Mode</t>
  </si>
  <si>
    <t>TEST 1</t>
  </si>
  <si>
    <t>TEST 2</t>
  </si>
  <si>
    <t>Correlation</t>
  </si>
  <si>
    <t>PERCENTILE</t>
  </si>
  <si>
    <t>DECILE</t>
  </si>
  <si>
    <t>Quartiles</t>
  </si>
  <si>
    <t>Q1</t>
  </si>
  <si>
    <t>Q3</t>
  </si>
  <si>
    <t>TEST</t>
  </si>
  <si>
    <t>RANGE</t>
  </si>
  <si>
    <t>INTERQUARTILE</t>
  </si>
  <si>
    <t xml:space="preserve">TEST </t>
  </si>
  <si>
    <t>VARIANCE</t>
  </si>
  <si>
    <t>SD</t>
  </si>
  <si>
    <t>SKEWNESS</t>
  </si>
  <si>
    <t>KURTOSIS</t>
  </si>
  <si>
    <t>Students Test Score</t>
  </si>
  <si>
    <t>Employee Details</t>
  </si>
  <si>
    <t>Analysis of Employee Details</t>
  </si>
  <si>
    <t>Analysis of Student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</si>
</sst>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0" borderId="2" applyNumberFormat="0" applyFill="0" applyAlignment="0" applyProtection="0"/>
    <xf numFmtId="0" fontId="5" fillId="4" borderId="3" applyNumberFormat="0" applyAlignment="0" applyProtection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2" fillId="2" borderId="0" xfId="1" applyAlignment="1">
      <alignment horizontal="center" vertical="center"/>
    </xf>
    <xf numFmtId="0" fontId="2" fillId="2" borderId="0" xfId="1" applyNumberFormat="1" applyBorder="1" applyAlignment="1"/>
    <xf numFmtId="0" fontId="2" fillId="2" borderId="0" xfId="1" applyBorder="1" applyAlignment="1"/>
    <xf numFmtId="0" fontId="3" fillId="2" borderId="1" xfId="1" applyFont="1" applyBorder="1" applyAlignment="1">
      <alignment horizontal="center"/>
    </xf>
    <xf numFmtId="0" fontId="2" fillId="3" borderId="0" xfId="2" applyAlignment="1">
      <alignment horizontal="center" vertical="center" wrapText="1"/>
    </xf>
    <xf numFmtId="0" fontId="2" fillId="3" borderId="0" xfId="2" applyAlignment="1">
      <alignment horizontal="right" vertical="center" wrapText="1"/>
    </xf>
    <xf numFmtId="0" fontId="2" fillId="3" borderId="0" xfId="2" applyAlignment="1">
      <alignment horizontal="center" vertical="center"/>
    </xf>
    <xf numFmtId="0" fontId="2" fillId="3" borderId="0" xfId="2"/>
    <xf numFmtId="0" fontId="2" fillId="3" borderId="0" xfId="2" applyAlignment="1">
      <alignment vertical="center" wrapText="1"/>
    </xf>
    <xf numFmtId="0" fontId="3" fillId="3" borderId="0" xfId="2" applyFont="1" applyAlignment="1">
      <alignment horizontal="center" vertical="center" wrapText="1"/>
    </xf>
    <xf numFmtId="0" fontId="3" fillId="3" borderId="0" xfId="2" applyFont="1" applyAlignment="1">
      <alignment horizontal="right" vertical="center" wrapText="1"/>
    </xf>
    <xf numFmtId="0" fontId="2" fillId="3" borderId="0" xfId="2" applyNumberFormat="1" applyBorder="1" applyAlignment="1"/>
    <xf numFmtId="0" fontId="2" fillId="3" borderId="0" xfId="2" applyBorder="1" applyAlignment="1"/>
    <xf numFmtId="0" fontId="3" fillId="3" borderId="1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/>
    <xf numFmtId="2" fontId="0" fillId="0" borderId="0" xfId="0" applyNumberFormat="1"/>
    <xf numFmtId="0" fontId="5" fillId="4" borderId="3" xfId="4"/>
    <xf numFmtId="0" fontId="4" fillId="0" borderId="2" xfId="3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2" xfId="3" applyAlignment="1">
      <alignment horizontal="center" vertical="center"/>
    </xf>
  </cellXfs>
  <cellStyles count="5">
    <cellStyle name="20% - Accent3" xfId="1" builtinId="38"/>
    <cellStyle name="40% - Accent3" xfId="2" builtinId="39"/>
    <cellStyle name="Check Cell" xfId="4" builtinId="23"/>
    <cellStyle name="Heading 1" xfId="3" builtinId="16"/>
    <cellStyle name="Normal" xfId="0" builtinId="0"/>
  </cellStyles>
  <dxfs count="3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</dxf>
    <dxf>
      <numFmt numFmtId="13" formatCode="0%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Histogram</a:t>
            </a:r>
            <a:r>
              <a:rPr lang="en-US" b="1" baseline="0"/>
              <a:t> of Income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11111111111123E-2"/>
          <c:y val="0.17066915807055991"/>
          <c:w val="0.93888888888888888"/>
          <c:h val="0.698271726450860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Analysis_emp!$O$5</c:f>
              <c:strCache>
                <c:ptCount val="1"/>
                <c:pt idx="0">
                  <c:v>Frequency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Analysis_emp!$N$6:$N$14</c:f>
              <c:strCache>
                <c:ptCount val="9"/>
                <c:pt idx="0">
                  <c:v>30000</c:v>
                </c:pt>
                <c:pt idx="1">
                  <c:v>40000</c:v>
                </c:pt>
                <c:pt idx="2">
                  <c:v>50000</c:v>
                </c:pt>
                <c:pt idx="3">
                  <c:v>60000</c:v>
                </c:pt>
                <c:pt idx="4">
                  <c:v>70000</c:v>
                </c:pt>
                <c:pt idx="5">
                  <c:v>80000</c:v>
                </c:pt>
                <c:pt idx="6">
                  <c:v>90000</c:v>
                </c:pt>
                <c:pt idx="7">
                  <c:v>100000</c:v>
                </c:pt>
                <c:pt idx="8">
                  <c:v>More</c:v>
                </c:pt>
              </c:strCache>
            </c:strRef>
          </c:cat>
          <c:val>
            <c:numRef>
              <c:f>Analysis_emp!$O$6:$O$14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2-40E5-80B5-D5862330F42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97919072"/>
        <c:axId val="1097921984"/>
      </c:barChart>
      <c:catAx>
        <c:axId val="109791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21984"/>
        <c:crosses val="autoZero"/>
        <c:auto val="1"/>
        <c:lblAlgn val="ctr"/>
        <c:lblOffset val="100"/>
        <c:noMultiLvlLbl val="0"/>
      </c:catAx>
      <c:valAx>
        <c:axId val="1097921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791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Bar</a:t>
            </a:r>
            <a:r>
              <a:rPr lang="en-US" baseline="0"/>
              <a:t> Chart of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Analysis_emp!$C$21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Analysis_emp!$B$22:$B$23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Analysis_emp!$C$22:$C$23</c:f>
              <c:numCache>
                <c:formatCode>General</c:formatCode>
                <c:ptCount val="2"/>
                <c:pt idx="0">
                  <c:v>12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7-4EC2-8BCC-1F8CCA7F1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22567408"/>
        <c:axId val="1122569488"/>
      </c:barChart>
      <c:catAx>
        <c:axId val="112256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569488"/>
        <c:crosses val="autoZero"/>
        <c:auto val="1"/>
        <c:lblAlgn val="ctr"/>
        <c:lblOffset val="100"/>
        <c:noMultiLvlLbl val="0"/>
      </c:catAx>
      <c:valAx>
        <c:axId val="112256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56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Bar</a:t>
            </a:r>
            <a:r>
              <a:rPr lang="en-US" baseline="0"/>
              <a:t> Chart of Education Level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Analysis_emp!$O$21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Analysis_emp!$N$22:$N$26</c:f>
              <c:strCache>
                <c:ptCount val="5"/>
                <c:pt idx="0">
                  <c:v>High School</c:v>
                </c:pt>
                <c:pt idx="1">
                  <c:v>Associate's</c:v>
                </c:pt>
                <c:pt idx="2">
                  <c:v>Bachelor's</c:v>
                </c:pt>
                <c:pt idx="3">
                  <c:v>Master's</c:v>
                </c:pt>
                <c:pt idx="4">
                  <c:v>Doctorate</c:v>
                </c:pt>
              </c:strCache>
            </c:strRef>
          </c:cat>
          <c:val>
            <c:numRef>
              <c:f>Analysis_emp!$O$22:$O$26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10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7-4FB9-BF13-EA336D413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17126624"/>
        <c:axId val="1117124960"/>
      </c:barChart>
      <c:catAx>
        <c:axId val="111712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124960"/>
        <c:crosses val="autoZero"/>
        <c:auto val="1"/>
        <c:lblAlgn val="ctr"/>
        <c:lblOffset val="100"/>
        <c:noMultiLvlLbl val="0"/>
      </c:catAx>
      <c:valAx>
        <c:axId val="111712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12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Bar</a:t>
            </a:r>
            <a:r>
              <a:rPr lang="en-US" baseline="0"/>
              <a:t> Chart of Marrital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55371996736526"/>
          <c:y val="0.16708337319135538"/>
          <c:w val="0.82507130358705161"/>
          <c:h val="0.7208876494604841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Analysis_emp!$AA$5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Analysis_emp!$Z$6:$Z$8</c:f>
              <c:strCache>
                <c:ptCount val="3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</c:strCache>
            </c:strRef>
          </c:cat>
          <c:val>
            <c:numRef>
              <c:f>Analysis_emp!$AA$6:$AA$8</c:f>
              <c:numCache>
                <c:formatCode>General</c:formatCode>
                <c:ptCount val="3"/>
                <c:pt idx="0">
                  <c:v>9</c:v>
                </c:pt>
                <c:pt idx="1">
                  <c:v>13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3-4EB4-8341-6094B2881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9777840"/>
        <c:axId val="1109776592"/>
      </c:barChart>
      <c:catAx>
        <c:axId val="1109777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776592"/>
        <c:crosses val="autoZero"/>
        <c:auto val="1"/>
        <c:lblAlgn val="ctr"/>
        <c:lblOffset val="100"/>
        <c:noMultiLvlLbl val="0"/>
      </c:catAx>
      <c:valAx>
        <c:axId val="110977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77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Bar</a:t>
            </a:r>
            <a:r>
              <a:rPr lang="en-US" baseline="0"/>
              <a:t> Chart of Employment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Analysis_emp!$AA$21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Analysis_emp!$Z$22:$Z$24</c:f>
              <c:strCache>
                <c:ptCount val="3"/>
                <c:pt idx="0">
                  <c:v>Employed</c:v>
                </c:pt>
                <c:pt idx="1">
                  <c:v>Self-Employed</c:v>
                </c:pt>
                <c:pt idx="2">
                  <c:v>Unemployed</c:v>
                </c:pt>
              </c:strCache>
            </c:strRef>
          </c:cat>
          <c:val>
            <c:numRef>
              <c:f>Analysis_emp!$AA$22:$AA$24</c:f>
              <c:numCache>
                <c:formatCode>General</c:formatCode>
                <c:ptCount val="3"/>
                <c:pt idx="0">
                  <c:v>19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4-4126-8F0E-40345C43E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97917824"/>
        <c:axId val="1097921152"/>
      </c:barChart>
      <c:catAx>
        <c:axId val="109791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21152"/>
        <c:crosses val="autoZero"/>
        <c:auto val="1"/>
        <c:lblAlgn val="ctr"/>
        <c:lblOffset val="100"/>
        <c:noMultiLvlLbl val="0"/>
      </c:catAx>
      <c:valAx>
        <c:axId val="109792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1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Bar Chart of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Analysis_emp!$C$35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Analysis_emp!$B$36:$B$47</c:f>
              <c:strCache>
                <c:ptCount val="12"/>
                <c:pt idx="0">
                  <c:v>Technology</c:v>
                </c:pt>
                <c:pt idx="1">
                  <c:v>Finance</c:v>
                </c:pt>
                <c:pt idx="2">
                  <c:v>None</c:v>
                </c:pt>
                <c:pt idx="3">
                  <c:v>Education</c:v>
                </c:pt>
                <c:pt idx="4">
                  <c:v>Healthcare</c:v>
                </c:pt>
                <c:pt idx="5">
                  <c:v>Consulting</c:v>
                </c:pt>
                <c:pt idx="6">
                  <c:v>Retail</c:v>
                </c:pt>
                <c:pt idx="7">
                  <c:v>Engineering</c:v>
                </c:pt>
                <c:pt idx="8">
                  <c:v>Government</c:v>
                </c:pt>
                <c:pt idx="9">
                  <c:v>Entertainment</c:v>
                </c:pt>
                <c:pt idx="10">
                  <c:v>Nonprofit</c:v>
                </c:pt>
                <c:pt idx="11">
                  <c:v>Construction</c:v>
                </c:pt>
              </c:strCache>
            </c:strRef>
          </c:cat>
          <c:val>
            <c:numRef>
              <c:f>Analysis_emp!$C$36:$C$47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9-49DD-A727-69122A80A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0811040"/>
        <c:axId val="1220812288"/>
      </c:barChart>
      <c:catAx>
        <c:axId val="122081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12288"/>
        <c:crosses val="autoZero"/>
        <c:auto val="1"/>
        <c:lblAlgn val="ctr"/>
        <c:lblOffset val="100"/>
        <c:noMultiLvlLbl val="0"/>
      </c:catAx>
      <c:valAx>
        <c:axId val="122081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1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Plot of Test1 Score vs Test2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Analysis_Stu!$C$4</c:f>
              <c:strCache>
                <c:ptCount val="1"/>
                <c:pt idx="0">
                  <c:v>Test2 Score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Analysis_Stu!$B$5:$B$14</c:f>
              <c:numCache>
                <c:formatCode>General</c:formatCode>
                <c:ptCount val="10"/>
                <c:pt idx="0">
                  <c:v>85</c:v>
                </c:pt>
                <c:pt idx="1">
                  <c:v>92</c:v>
                </c:pt>
                <c:pt idx="2">
                  <c:v>78</c:v>
                </c:pt>
                <c:pt idx="3">
                  <c:v>85</c:v>
                </c:pt>
                <c:pt idx="4">
                  <c:v>90</c:v>
                </c:pt>
                <c:pt idx="5">
                  <c:v>75</c:v>
                </c:pt>
                <c:pt idx="6">
                  <c:v>83</c:v>
                </c:pt>
                <c:pt idx="7">
                  <c:v>92</c:v>
                </c:pt>
                <c:pt idx="8">
                  <c:v>80</c:v>
                </c:pt>
                <c:pt idx="9">
                  <c:v>87</c:v>
                </c:pt>
              </c:numCache>
            </c:numRef>
          </c:xVal>
          <c:yVal>
            <c:numRef>
              <c:f>Analysis_Stu!$C$5:$C$14</c:f>
              <c:numCache>
                <c:formatCode>General</c:formatCode>
                <c:ptCount val="10"/>
                <c:pt idx="0">
                  <c:v>92</c:v>
                </c:pt>
                <c:pt idx="1">
                  <c:v>87</c:v>
                </c:pt>
                <c:pt idx="2">
                  <c:v>80</c:v>
                </c:pt>
                <c:pt idx="3">
                  <c:v>89</c:v>
                </c:pt>
                <c:pt idx="4">
                  <c:v>95</c:v>
                </c:pt>
                <c:pt idx="5">
                  <c:v>82</c:v>
                </c:pt>
                <c:pt idx="6">
                  <c:v>87</c:v>
                </c:pt>
                <c:pt idx="7">
                  <c:v>90</c:v>
                </c:pt>
                <c:pt idx="8">
                  <c:v>85</c:v>
                </c:pt>
                <c:pt idx="9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8E-4314-8C12-706A98038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3714720"/>
        <c:axId val="2113712320"/>
      </c:scatterChart>
      <c:valAx>
        <c:axId val="211371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TEST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712320"/>
        <c:crosses val="autoZero"/>
        <c:crossBetween val="midCat"/>
      </c:valAx>
      <c:valAx>
        <c:axId val="211371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TEST 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71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Histogram of Age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ctr">
            <a:defRPr/>
          </a:pPr>
          <a:r>
            <a:rPr lang="en-US" b="1"/>
            <a:t>Histogram of Age</a:t>
          </a:r>
        </a:p>
      </cx:txPr>
    </cx:title>
    <cx:plotArea>
      <cx:plotAreaRegion>
        <cx:series layoutId="clusteredColumn" uniqueId="{E6661144-4C47-42CE-8251-C01FB4440836}" formatIdx="0">
          <cx:tx>
            <cx:txData>
              <cx:f>_xlchart.v1.1</cx:f>
              <cx:v>Frequency</cx:v>
            </cx:txData>
          </cx:tx>
          <cx:dataId val="0"/>
          <cx:layoutPr>
            <cx:visibility meanLine="0" meanMarker="1" nonoutliers="0" outliers="1"/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Box Plot of 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chemeClr val="bg1"/>
              </a:solidFill>
              <a:latin typeface="Calibri" panose="020F0502020204030204"/>
            </a:rPr>
            <a:t>Box Plot of Age</a:t>
          </a:r>
        </a:p>
      </cx:txPr>
    </cx:title>
    <cx:plotArea>
      <cx:plotAreaRegion>
        <cx:series layoutId="boxWhisker" uniqueId="{B4C19CD1-FA5F-4FD3-9244-353736B17EF1}" formatIdx="0">
          <cx:tx>
            <cx:txData>
              <cx:f>_xlchart.v1.3</cx:f>
              <cx:v>Age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Box Plot of Test1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of Test1 Score</a:t>
          </a:r>
        </a:p>
      </cx:txPr>
    </cx:title>
    <cx:plotArea>
      <cx:plotAreaRegion>
        <cx:series layoutId="boxWhisker" uniqueId="{AFCCFB5E-ACAA-45FA-8B6F-EDDD4C76BF1A}">
          <cx:tx>
            <cx:txData>
              <cx:f>_xlchart.v1.5</cx:f>
              <cx:v>Test1 Score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Box Plot of Test2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of Test2 Score</a:t>
          </a:r>
        </a:p>
      </cx:txPr>
    </cx:title>
    <cx:plotArea>
      <cx:plotAreaRegion>
        <cx:series layoutId="boxWhisker" uniqueId="{02B8624D-633C-4EF2-90DC-8B2B63AA8D97}">
          <cx:tx>
            <cx:txData>
              <cx:f>_xlchart.v1.7</cx:f>
              <cx:v>Test2 Score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85000"/>
      </a:schemeClr>
    </cs:fontRef>
    <cs:defRPr sz="9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 w="9525">
        <a:solidFill>
          <a:schemeClr val="tx1"/>
        </a:solidFill>
      </a:ln>
      <a:effectLst>
        <a:outerShdw blurRad="57150" dist="19050" dir="5400000" algn="ctr" rotWithShape="0">
          <a:srgbClr val="000000">
            <a:alpha val="63000"/>
          </a:srgb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lt1"/>
    </cs:fontRef>
  </cs:dropLine>
  <cs:errorBar>
    <cs:lnRef idx="0"/>
    <cs:fillRef idx="0"/>
    <cs:effectRef idx="0"/>
    <cs:fontRef idx="minor">
      <a:schemeClr val="lt1"/>
    </cs:fontRef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</cs:hiLoLine>
  <cs:leaderLine>
    <cs:lnRef idx="0"/>
    <cs:fillRef idx="0"/>
    <cs:effectRef idx="0"/>
    <cs:fontRef idx="minor">
      <a:schemeClr val="lt1"/>
    </cs:fontRef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microsoft.com/office/2014/relationships/chartEx" Target="../charts/chartEx3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14444</xdr:colOff>
      <xdr:row>4</xdr:row>
      <xdr:rowOff>5232</xdr:rowOff>
    </xdr:from>
    <xdr:to>
      <xdr:col>12</xdr:col>
      <xdr:colOff>17887</xdr:colOff>
      <xdr:row>18</xdr:row>
      <xdr:rowOff>167649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8820BEF-FD24-4DB6-ABB2-6D9BF4EB4E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3844" y="189382"/>
              <a:ext cx="4880243" cy="27405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606380</xdr:colOff>
      <xdr:row>3</xdr:row>
      <xdr:rowOff>179082</xdr:rowOff>
    </xdr:from>
    <xdr:to>
      <xdr:col>23</xdr:col>
      <xdr:colOff>590282</xdr:colOff>
      <xdr:row>19</xdr:row>
      <xdr:rowOff>8943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1CEB42-CF5E-42E2-8424-AC339C62C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43493</xdr:colOff>
      <xdr:row>20</xdr:row>
      <xdr:rowOff>3283</xdr:rowOff>
    </xdr:from>
    <xdr:to>
      <xdr:col>12</xdr:col>
      <xdr:colOff>612</xdr:colOff>
      <xdr:row>31</xdr:row>
      <xdr:rowOff>26096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2E08D0-54C3-4D0A-9795-A5C64CE58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598331</xdr:colOff>
      <xdr:row>20</xdr:row>
      <xdr:rowOff>1253</xdr:rowOff>
    </xdr:from>
    <xdr:to>
      <xdr:col>23</xdr:col>
      <xdr:colOff>592190</xdr:colOff>
      <xdr:row>32</xdr:row>
      <xdr:rowOff>14269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A6A5AE-3134-4351-A5AF-46CB96BC5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599326</xdr:colOff>
      <xdr:row>3</xdr:row>
      <xdr:rowOff>183793</xdr:rowOff>
    </xdr:from>
    <xdr:to>
      <xdr:col>35</xdr:col>
      <xdr:colOff>14270</xdr:colOff>
      <xdr:row>17</xdr:row>
      <xdr:rowOff>178370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7AB49E-2BA3-4BD0-96FB-DC6165672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815</xdr:colOff>
      <xdr:row>20</xdr:row>
      <xdr:rowOff>19139</xdr:rowOff>
    </xdr:from>
    <xdr:to>
      <xdr:col>35</xdr:col>
      <xdr:colOff>7135</xdr:colOff>
      <xdr:row>32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2FEAF6A-DBE0-4304-8F2A-9C3816CAF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813</xdr:colOff>
      <xdr:row>33</xdr:row>
      <xdr:rowOff>183792</xdr:rowOff>
    </xdr:from>
    <xdr:to>
      <xdr:col>12</xdr:col>
      <xdr:colOff>7383</xdr:colOff>
      <xdr:row>46</xdr:row>
      <xdr:rowOff>178371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584902-BA61-419E-A3D1-0013F581F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8698</xdr:colOff>
      <xdr:row>48</xdr:row>
      <xdr:rowOff>8700</xdr:rowOff>
    </xdr:from>
    <xdr:to>
      <xdr:col>7</xdr:col>
      <xdr:colOff>600205</xdr:colOff>
      <xdr:row>63</xdr:row>
      <xdr:rowOff>11831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6C38866B-D414-46C6-8408-46DEFAECBE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602" y="8959590"/>
              <a:ext cx="4627671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22225</xdr:colOff>
      <xdr:row>18</xdr:row>
      <xdr:rowOff>9525</xdr:rowOff>
    </xdr:from>
    <xdr:to>
      <xdr:col>14</xdr:col>
      <xdr:colOff>596900</xdr:colOff>
      <xdr:row>32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74434D-F843-8F95-C980-0163123C4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-1</xdr:colOff>
      <xdr:row>34</xdr:row>
      <xdr:rowOff>46011</xdr:rowOff>
    </xdr:from>
    <xdr:to>
      <xdr:col>14</xdr:col>
      <xdr:colOff>602710</xdr:colOff>
      <xdr:row>48</xdr:row>
      <xdr:rowOff>25401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C8716E8-1B42-9995-9B43-B3F424D0AF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91199" y="6523011"/>
              <a:ext cx="4400011" cy="2646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13776</xdr:colOff>
      <xdr:row>1</xdr:row>
      <xdr:rowOff>174571</xdr:rowOff>
    </xdr:from>
    <xdr:to>
      <xdr:col>14</xdr:col>
      <xdr:colOff>558800</xdr:colOff>
      <xdr:row>16</xdr:row>
      <xdr:rowOff>173279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E08B904-EC98-8FD5-9C1F-1C5F616CDE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04976" y="365071"/>
              <a:ext cx="4342324" cy="28562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G28" totalsRowShown="0" headerRowDxfId="17" dataDxfId="16">
  <autoFilter ref="A3:G28" xr:uid="{00000000-0009-0000-0100-000001000000}"/>
  <tableColumns count="7">
    <tableColumn id="1" xr3:uid="{00000000-0010-0000-0000-000001000000}" name="Age" dataDxfId="15"/>
    <tableColumn id="2" xr3:uid="{00000000-0010-0000-0000-000002000000}" name="Gender"/>
    <tableColumn id="3" xr3:uid="{00000000-0010-0000-0000-000003000000}" name="Income" dataDxfId="14"/>
    <tableColumn id="4" xr3:uid="{00000000-0010-0000-0000-000004000000}" name="Education Level" dataDxfId="13"/>
    <tableColumn id="5" xr3:uid="{00000000-0010-0000-0000-000005000000}" name="Marital Status" dataDxfId="12"/>
    <tableColumn id="6" xr3:uid="{00000000-0010-0000-0000-000006000000}" name="Employment Status" dataDxfId="11"/>
    <tableColumn id="7" xr3:uid="{00000000-0010-0000-0000-000007000000}" name="Industry" dataDxfId="1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2214F4-DEC5-4D85-A7F5-1012D3FF5238}" name="Table2" displayName="Table2" ref="B5:C14" totalsRowShown="0" headerRowDxfId="38" headerRowBorderDxfId="37" tableBorderDxfId="36" headerRowCellStyle="20% - Accent3">
  <autoFilter ref="B5:C14" xr:uid="{452214F4-DEC5-4D85-A7F5-1012D3FF5238}"/>
  <tableColumns count="2">
    <tableColumn id="1" xr3:uid="{FF64B9DD-702E-4724-B2D9-242E7966C886}" name="Bin" dataDxfId="35" dataCellStyle="20% - Accent3"/>
    <tableColumn id="2" xr3:uid="{41CEFAB1-DDD0-4B7A-950D-0D46A7C33781}" name="Frequency" dataDxfId="34" dataCellStyle="20% - Accent3"/>
  </tableColumns>
  <tableStyleInfo name="TableStyleMedium2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93B85B-028A-4CDD-B307-9C5CA2743E5C}" name="Table3" displayName="Table3" ref="B21:C23" totalsRowShown="0" headerRowDxfId="33" headerRowCellStyle="40% - Accent3" dataCellStyle="40% - Accent3">
  <autoFilter ref="B21:C23" xr:uid="{7193B85B-028A-4CDD-B307-9C5CA2743E5C}"/>
  <tableColumns count="2">
    <tableColumn id="1" xr3:uid="{311FEF9F-F482-4C41-88BF-6DEF77ED8C56}" name="Gender" dataDxfId="32" dataCellStyle="40% - Accent3"/>
    <tableColumn id="2" xr3:uid="{8709BD03-2564-467A-9505-A2D02D08359D}" name="Count" dataDxfId="31" dataCellStyle="40% - Accent3"/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A8D0E3-094E-4330-BB56-61523034DB8A}" name="Table4" displayName="Table4" ref="N5:O14" totalsRowShown="0" headerRowDxfId="30" headerRowBorderDxfId="29" tableBorderDxfId="28" headerRowCellStyle="40% - Accent3" dataCellStyle="40% - Accent3">
  <autoFilter ref="N5:O14" xr:uid="{13A8D0E3-094E-4330-BB56-61523034DB8A}"/>
  <tableColumns count="2">
    <tableColumn id="1" xr3:uid="{BDB24D78-56E6-4EAB-A212-5DF981EA2A82}" name="Bin" dataDxfId="27" dataCellStyle="40% - Accent3"/>
    <tableColumn id="2" xr3:uid="{0AB18101-AD07-4DCD-864E-A9CE53006345}" name="Frequency" dataDxfId="26" dataCellStyle="40% - Accent3"/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166DF8-AE8F-450C-B0B3-36297B1D6D46}" name="Table5" displayName="Table5" ref="N21:O26" totalsRowShown="0" headerRowCellStyle="40% - Accent3" dataCellStyle="40% - Accent3">
  <autoFilter ref="N21:O26" xr:uid="{E2166DF8-AE8F-450C-B0B3-36297B1D6D46}"/>
  <tableColumns count="2">
    <tableColumn id="1" xr3:uid="{CEA9ABA8-ACC1-4532-B4C0-2EAD4EB9A6B0}" name="Education Level" dataDxfId="25" dataCellStyle="40% - Accent3"/>
    <tableColumn id="2" xr3:uid="{04B73A34-A515-415E-8555-9C7C004EBEA1}" name="Count" dataDxfId="24" dataCellStyle="40% - Accent3"/>
  </tableColumns>
  <tableStyleInfo name="TableStyleMedium2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9CC0C0-C19D-4C43-8473-47B1D6C4D8EE}" name="Table6" displayName="Table6" ref="Z21:AA24" totalsRowShown="0" headerRowCellStyle="40% - Accent3" dataCellStyle="40% - Accent3">
  <autoFilter ref="Z21:AA24" xr:uid="{1D9CC0C0-C19D-4C43-8473-47B1D6C4D8EE}"/>
  <tableColumns count="2">
    <tableColumn id="1" xr3:uid="{32D856A0-3143-491A-B8F0-D6581477B05F}" name="Employment Status" dataDxfId="23" dataCellStyle="40% - Accent3"/>
    <tableColumn id="2" xr3:uid="{ACEB677E-AA80-4828-A2A6-2B74DD5569A3}" name="Count" dataDxfId="22" dataCellStyle="40% - Accent3"/>
  </tableColumns>
  <tableStyleInfo name="TableStyleMedium2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076C56-D8F1-4D4F-9666-0A99401B08DB}" name="Table7" displayName="Table7" ref="Z5:AA8" totalsRowShown="0" headerRowCellStyle="40% - Accent3" dataCellStyle="40% - Accent3">
  <autoFilter ref="Z5:AA8" xr:uid="{53076C56-D8F1-4D4F-9666-0A99401B08DB}"/>
  <tableColumns count="2">
    <tableColumn id="1" xr3:uid="{6C0340D4-4748-41EE-884B-1D3CE25A89C7}" name="Marital Status" dataDxfId="21" dataCellStyle="40% - Accent3"/>
    <tableColumn id="2" xr3:uid="{20AF964C-3FC6-44DB-8887-DD0DA964B261}" name="Count" dataDxfId="20" dataCellStyle="40% - Accent3"/>
  </tableColumns>
  <tableStyleInfo name="TableStyleMedium2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7DD8ED-D713-4EC5-8E0D-E5C0B83B7F78}" name="Table8" displayName="Table8" ref="B35:C47" totalsRowShown="0" headerRowCellStyle="40% - Accent3" dataCellStyle="40% - Accent3">
  <autoFilter ref="B35:C47" xr:uid="{D77DD8ED-D713-4EC5-8E0D-E5C0B83B7F78}"/>
  <tableColumns count="2">
    <tableColumn id="1" xr3:uid="{E4683B80-35ED-4B98-AB98-80234F34F2C0}" name="Industry" dataDxfId="19" dataCellStyle="40% - Accent3"/>
    <tableColumn id="2" xr3:uid="{F506BF59-DC37-4520-A28F-C81B5E05918D}" name="Count" dataDxfId="18" dataCellStyle="40% - Accent3"/>
  </tableColumns>
  <tableStyleInfo name="TableStyleMedium2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12B16A7-0825-4221-8CDD-349706B0F2F9}" name="Table9" displayName="Table9" ref="A4:E14" totalsRowShown="0" headerRowDxfId="9">
  <autoFilter ref="A4:E14" xr:uid="{612B16A7-0825-4221-8CDD-349706B0F2F9}"/>
  <tableColumns count="5">
    <tableColumn id="1" xr3:uid="{369991AA-F279-4F7C-BFB7-E09651726B95}" name="StudentID"/>
    <tableColumn id="2" xr3:uid="{17E93872-F41F-4B5F-A2B2-4FE97562E29E}" name="Test1 Score"/>
    <tableColumn id="3" xr3:uid="{37F0EDC1-7206-4D7C-AAEB-8607E2FD32A8}" name="Test2 Score"/>
    <tableColumn id="4" xr3:uid="{AC7B02A7-758A-4A50-9DE4-8BB81B4DB5FE}" name="Age "/>
    <tableColumn id="5" xr3:uid="{DAA2D1F7-F4E8-4202-BC25-05ED20C1EE67}" name="Gender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2071837-962B-4903-9374-CC2DB05603ED}" name="Table10" displayName="Table10" ref="A16:C19" totalsRowShown="0" headerRowDxfId="8">
  <autoFilter ref="A16:C19" xr:uid="{B2071837-962B-4903-9374-CC2DB05603ED}"/>
  <tableColumns count="3">
    <tableColumn id="1" xr3:uid="{88D17CD7-B47B-4420-B022-DF88172D7C12}" name="Funcation"/>
    <tableColumn id="2" xr3:uid="{C19A512C-8AA7-4F9C-8447-32F852E1BD03}" name="TEST 1"/>
    <tableColumn id="3" xr3:uid="{58312B15-511E-43FA-A88C-E5DF9901D6E2}" name="TEST 2"/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7C39BE-5A60-485D-9E31-0EB705F45884}" name="Table11" displayName="Table11" ref="A21:C24" totalsRowShown="0">
  <autoFilter ref="A21:C24" xr:uid="{587C39BE-5A60-485D-9E31-0EB705F45884}"/>
  <tableColumns count="3">
    <tableColumn id="1" xr3:uid="{DEC0FE82-781C-47FA-B1C8-6BD9106EC62B}" name="PERCENTILE" dataDxfId="7"/>
    <tableColumn id="2" xr3:uid="{D28BD224-9C54-496A-8F96-F67315A0D7C5}" name="TEST 1"/>
    <tableColumn id="3" xr3:uid="{1F14CF87-B24E-4C58-98A8-A06F8BF6A46D}" name="TEST 2"/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C7FD4EB-892A-4823-9A34-A6395587B3AF}" name="Table1113" displayName="Table1113" ref="A26:C29" totalsRowShown="0">
  <autoFilter ref="A26:C29" xr:uid="{0C7FD4EB-892A-4823-9A34-A6395587B3AF}"/>
  <tableColumns count="3">
    <tableColumn id="1" xr3:uid="{B6C6B6A7-CB66-43DF-A4A1-4CB81E04185A}" name="DECILE" dataDxfId="6"/>
    <tableColumn id="2" xr3:uid="{DC60D78C-C46F-42F1-8C17-3A567C47DBEE}" name="TEST 1"/>
    <tableColumn id="3" xr3:uid="{D3B95780-3D8B-4C3C-9ED1-AA61E23A8263}" name="TEST 2"/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55EFCC6-BACC-49ED-9423-5D525560EC99}" name="Table13" displayName="Table13" ref="A31:C33" totalsRowShown="0">
  <autoFilter ref="A31:C33" xr:uid="{255EFCC6-BACC-49ED-9423-5D525560EC99}"/>
  <tableColumns count="3">
    <tableColumn id="1" xr3:uid="{B4ADA4B4-8C08-470F-A781-B0F781F7CE08}" name="Quartiles"/>
    <tableColumn id="2" xr3:uid="{0D5CB8F1-8256-4E0F-846A-2F12455402FF}" name="TEST 1">
      <calculatedColumnFormula>_xlfn.QUARTILE.INC(B4:B13,3)</calculatedColumnFormula>
    </tableColumn>
    <tableColumn id="3" xr3:uid="{85171EE5-0710-47DB-88AA-A87C479445B3}" name="TEST 2">
      <calculatedColumnFormula>_xlfn.QUARTILE.INC(C4:C13,3)</calculatedColumnFormula>
    </tableColumn>
  </tableColumns>
  <tableStyleInfo name="TableStyleMedium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76307CC-2052-484E-95E1-7558F3CB6048}" name="Table15" displayName="Table15" ref="A35:B37" totalsRowShown="0" headerRowDxfId="5">
  <autoFilter ref="A35:B37" xr:uid="{376307CC-2052-484E-95E1-7558F3CB6048}"/>
  <tableColumns count="2">
    <tableColumn id="1" xr3:uid="{7A916210-A07B-4191-97B3-03BF93565145}" name="TEST"/>
    <tableColumn id="2" xr3:uid="{3D978FF3-50B9-4C42-983E-8F07770712F8}" name="RANGE">
      <calculatedColumnFormula>MAX(C4:C13)-MIN(C4:C13)</calculatedColumnFormula>
    </tableColumn>
  </tableColumns>
  <tableStyleInfo name="TableStyleMedium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F00EC3F-8571-466A-B74A-4FC9B94B3E5B}" name="Table16" displayName="Table16" ref="A39:B41" totalsRowShown="0" headerRowDxfId="4">
  <autoFilter ref="A39:B41" xr:uid="{6F00EC3F-8571-466A-B74A-4FC9B94B3E5B}"/>
  <tableColumns count="2">
    <tableColumn id="1" xr3:uid="{3EF7E158-3A1F-4B19-9C63-9E21E1022B91}" name="TEST"/>
    <tableColumn id="2" xr3:uid="{1C3530AB-8BA3-4EC7-82CB-1E8117B95B2C}" name="INTERQUARTILE">
      <calculatedColumnFormula>_xlfn.QUARTILE.INC(C4:C13,3)-_xlfn.QUARTILE.INC(C4:C13,1)</calculatedColumnFormula>
    </tableColumn>
  </tableColumns>
  <tableStyleInfo name="TableStyleMedium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373E784-0166-42A9-9830-93A363A72190}" name="Table17" displayName="Table17" ref="A43:B45" totalsRowShown="0" headerRowDxfId="3">
  <autoFilter ref="A43:B45" xr:uid="{F373E784-0166-42A9-9830-93A363A72190}"/>
  <tableColumns count="2">
    <tableColumn id="1" xr3:uid="{0A360D34-E41D-4DF1-A35C-D172E909AB33}" name="TEST "/>
    <tableColumn id="2" xr3:uid="{770BB9CE-6F10-4283-9DC0-D38F9E8B870E}" name="VARIANCE" dataDxfId="2">
      <calculatedColumnFormula>_xlfn.VAR.S(C4:C13)</calculatedColumnFormula>
    </tableColumn>
  </tableColumns>
  <tableStyleInfo name="TableStyleMedium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B47D2BB-6ABD-4193-B15D-2E1225EB196B}" name="Table18" displayName="Table18" ref="A47:B49" totalsRowShown="0" headerRowDxfId="1">
  <autoFilter ref="A47:B49" xr:uid="{4B47D2BB-6ABD-4193-B15D-2E1225EB196B}"/>
  <tableColumns count="2">
    <tableColumn id="1" xr3:uid="{F89D3224-FD9E-4CA9-94A9-A2E7A560AE3E}" name="TEST"/>
    <tableColumn id="2" xr3:uid="{63DAFDEF-C3B0-406A-A4DD-9C2678C12765}" name="SD">
      <calculatedColumnFormula>_xlfn.STDEV.S(C4:C13)</calculatedColumnFormula>
    </tableColumn>
  </tableColumns>
  <tableStyleInfo name="TableStyleMedium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571DA2C-BFC1-49C9-833C-4C80F4D10961}" name="Table19" displayName="Table19" ref="D35:E37" totalsRowShown="0">
  <autoFilter ref="D35:E37" xr:uid="{0571DA2C-BFC1-49C9-833C-4C80F4D10961}"/>
  <tableColumns count="2">
    <tableColumn id="1" xr3:uid="{C4273473-E6C1-4D95-91D7-47ECC1794FA5}" name="TEST"/>
    <tableColumn id="2" xr3:uid="{3368B2EF-7A55-4C3D-9B52-4FBFD3E8AFE6}" name="SKEWNESS">
      <calculatedColumnFormula>SKEW(C4:C13)</calculatedColumnFormula>
    </tableColumn>
  </tableColumns>
  <tableStyleInfo name="TableStyleMedium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F41003B-80AC-4A2E-9B06-60AF929BBFA4}" name="Table20" displayName="Table20" ref="D39:E41" totalsRowShown="0">
  <autoFilter ref="D39:E41" xr:uid="{2F41003B-80AC-4A2E-9B06-60AF929BBFA4}"/>
  <tableColumns count="2">
    <tableColumn id="1" xr3:uid="{A5901BF4-673F-4B9D-9148-30F5A425C693}" name="TEST "/>
    <tableColumn id="2" xr3:uid="{ADAA6E33-9909-4792-B338-9C88961496C4}" name="KURTOSIS">
      <calculatedColumnFormula>KURT(C4:C13)</calculatedColumnFormula>
    </tableColumn>
  </tableColumns>
  <tableStyleInfo name="TableStyleMedium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AF01ACE-57D8-4AC1-B45C-CB991C59064A}" name="Table915" displayName="Table915" ref="A3:E13" totalsRowShown="0" headerRowDxfId="0">
  <autoFilter ref="A3:E13" xr:uid="{BAF01ACE-57D8-4AC1-B45C-CB991C59064A}"/>
  <tableColumns count="5">
    <tableColumn id="1" xr3:uid="{D8F09FD3-E4DF-4B15-95CA-E53480116D27}" name="StudentID"/>
    <tableColumn id="2" xr3:uid="{A43BA05F-CFF3-4442-9E0D-1F6E652C2E0E}" name="Test1 Score"/>
    <tableColumn id="3" xr3:uid="{D22E1778-1FF3-4685-B0D7-838CFDF5E967}" name="Test2 Score"/>
    <tableColumn id="4" xr3:uid="{098CBB6D-53C0-4B2B-A99B-34F27AA387E3}" name="Age "/>
    <tableColumn id="5" xr3:uid="{E5019447-FB1C-42D9-9E87-4C933DA86B0B}" name="Gender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12" Type="http://schemas.openxmlformats.org/officeDocument/2006/relationships/table" Target="../tables/table19.xml"/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Relationship Id="rId6" Type="http://schemas.openxmlformats.org/officeDocument/2006/relationships/table" Target="../tables/table13.xml"/><Relationship Id="rId11" Type="http://schemas.openxmlformats.org/officeDocument/2006/relationships/table" Target="../tables/table18.xml"/><Relationship Id="rId5" Type="http://schemas.openxmlformats.org/officeDocument/2006/relationships/table" Target="../tables/table12.xml"/><Relationship Id="rId10" Type="http://schemas.openxmlformats.org/officeDocument/2006/relationships/table" Target="../tables/table17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zoomScale="71" zoomScaleNormal="100" workbookViewId="0">
      <selection sqref="A1:G1"/>
    </sheetView>
  </sheetViews>
  <sheetFormatPr defaultRowHeight="14.5" x14ac:dyDescent="0.35"/>
  <cols>
    <col min="1" max="1" width="8.7265625" style="2"/>
    <col min="2" max="3" width="9" style="2" customWidth="1"/>
    <col min="4" max="4" width="15.81640625" style="2" customWidth="1"/>
    <col min="5" max="5" width="14.6328125" style="2" customWidth="1"/>
    <col min="6" max="6" width="19.1796875" style="2" customWidth="1"/>
    <col min="7" max="7" width="13.90625" style="2" customWidth="1"/>
    <col min="8" max="20" width="8.7265625" style="2"/>
    <col min="21" max="21" width="11.1796875" style="2" customWidth="1"/>
    <col min="22" max="33" width="8.7265625" style="2"/>
    <col min="34" max="34" width="13.1796875" style="2" customWidth="1"/>
    <col min="35" max="44" width="8.7265625" style="2"/>
    <col min="45" max="45" width="12.36328125" style="2" customWidth="1"/>
    <col min="46" max="16384" width="8.7265625" style="2"/>
  </cols>
  <sheetData>
    <row r="1" spans="1:7" ht="30" customHeight="1" x14ac:dyDescent="0.35">
      <c r="A1" s="25" t="s">
        <v>61</v>
      </c>
      <c r="B1" s="25"/>
      <c r="C1" s="25"/>
      <c r="D1" s="25"/>
      <c r="E1" s="25"/>
      <c r="F1" s="25"/>
      <c r="G1" s="25"/>
    </row>
    <row r="3" spans="1:7" x14ac:dyDescent="0.35">
      <c r="A3" s="4" t="s">
        <v>5</v>
      </c>
      <c r="B3" s="4" t="s">
        <v>0</v>
      </c>
      <c r="C3" s="4" t="s">
        <v>1</v>
      </c>
      <c r="D3" s="4" t="s">
        <v>3</v>
      </c>
      <c r="E3" s="4" t="s">
        <v>6</v>
      </c>
      <c r="F3" s="4" t="s">
        <v>7</v>
      </c>
      <c r="G3" s="4" t="s">
        <v>4</v>
      </c>
    </row>
    <row r="4" spans="1:7" x14ac:dyDescent="0.35">
      <c r="A4" s="5">
        <v>32</v>
      </c>
      <c r="B4" s="1" t="s">
        <v>8</v>
      </c>
      <c r="C4" s="3">
        <v>45000</v>
      </c>
      <c r="D4" s="3" t="s">
        <v>9</v>
      </c>
      <c r="E4" s="3" t="s">
        <v>10</v>
      </c>
      <c r="F4" s="3" t="s">
        <v>11</v>
      </c>
      <c r="G4" s="3" t="s">
        <v>12</v>
      </c>
    </row>
    <row r="5" spans="1:7" x14ac:dyDescent="0.35">
      <c r="A5" s="5">
        <v>45</v>
      </c>
      <c r="B5" s="1" t="s">
        <v>13</v>
      </c>
      <c r="C5" s="3">
        <v>65000</v>
      </c>
      <c r="D5" s="3" t="s">
        <v>14</v>
      </c>
      <c r="E5" s="3" t="s">
        <v>15</v>
      </c>
      <c r="F5" s="3" t="s">
        <v>11</v>
      </c>
      <c r="G5" s="3" t="s">
        <v>16</v>
      </c>
    </row>
    <row r="6" spans="1:7" x14ac:dyDescent="0.35">
      <c r="A6" s="5">
        <v>28</v>
      </c>
      <c r="B6" s="1" t="s">
        <v>8</v>
      </c>
      <c r="C6" s="3">
        <v>35000</v>
      </c>
      <c r="D6" s="3" t="s">
        <v>17</v>
      </c>
      <c r="E6" s="3" t="s">
        <v>10</v>
      </c>
      <c r="F6" s="3" t="s">
        <v>18</v>
      </c>
      <c r="G6" s="3" t="s">
        <v>19</v>
      </c>
    </row>
    <row r="7" spans="1:7" x14ac:dyDescent="0.35">
      <c r="A7" s="5">
        <v>52</v>
      </c>
      <c r="B7" s="1" t="s">
        <v>13</v>
      </c>
      <c r="C7" s="3">
        <v>80000</v>
      </c>
      <c r="D7" s="3" t="s">
        <v>20</v>
      </c>
      <c r="E7" s="3" t="s">
        <v>15</v>
      </c>
      <c r="F7" s="3" t="s">
        <v>11</v>
      </c>
      <c r="G7" s="3" t="s">
        <v>2</v>
      </c>
    </row>
    <row r="8" spans="1:7" x14ac:dyDescent="0.35">
      <c r="A8" s="5">
        <v>36</v>
      </c>
      <c r="B8" s="1" t="s">
        <v>8</v>
      </c>
      <c r="C8" s="3">
        <v>55000</v>
      </c>
      <c r="D8" s="3" t="s">
        <v>9</v>
      </c>
      <c r="E8" s="3" t="s">
        <v>21</v>
      </c>
      <c r="F8" s="3" t="s">
        <v>11</v>
      </c>
      <c r="G8" s="3" t="s">
        <v>22</v>
      </c>
    </row>
    <row r="9" spans="1:7" x14ac:dyDescent="0.35">
      <c r="A9" s="5">
        <v>40</v>
      </c>
      <c r="B9" s="1" t="s">
        <v>13</v>
      </c>
      <c r="C9" s="3">
        <v>70000</v>
      </c>
      <c r="D9" s="3" t="s">
        <v>9</v>
      </c>
      <c r="E9" s="3" t="s">
        <v>15</v>
      </c>
      <c r="F9" s="3" t="s">
        <v>23</v>
      </c>
      <c r="G9" s="3" t="s">
        <v>24</v>
      </c>
    </row>
    <row r="10" spans="1:7" x14ac:dyDescent="0.35">
      <c r="A10" s="5">
        <v>29</v>
      </c>
      <c r="B10" s="1" t="s">
        <v>8</v>
      </c>
      <c r="C10" s="3">
        <v>40000</v>
      </c>
      <c r="D10" s="3" t="s">
        <v>25</v>
      </c>
      <c r="E10" s="3" t="s">
        <v>10</v>
      </c>
      <c r="F10" s="3" t="s">
        <v>11</v>
      </c>
      <c r="G10" s="3" t="s">
        <v>26</v>
      </c>
    </row>
    <row r="11" spans="1:7" x14ac:dyDescent="0.35">
      <c r="A11" s="5">
        <v>55</v>
      </c>
      <c r="B11" s="1" t="s">
        <v>13</v>
      </c>
      <c r="C11" s="3">
        <v>90000</v>
      </c>
      <c r="D11" s="3" t="s">
        <v>14</v>
      </c>
      <c r="E11" s="3" t="s">
        <v>15</v>
      </c>
      <c r="F11" s="3" t="s">
        <v>11</v>
      </c>
      <c r="G11" s="3" t="s">
        <v>27</v>
      </c>
    </row>
    <row r="12" spans="1:7" x14ac:dyDescent="0.35">
      <c r="A12" s="5">
        <v>33</v>
      </c>
      <c r="B12" s="1" t="s">
        <v>8</v>
      </c>
      <c r="C12" s="3">
        <v>47000</v>
      </c>
      <c r="D12" s="3" t="s">
        <v>9</v>
      </c>
      <c r="E12" s="3" t="s">
        <v>10</v>
      </c>
      <c r="F12" s="3" t="s">
        <v>11</v>
      </c>
      <c r="G12" s="3" t="s">
        <v>28</v>
      </c>
    </row>
    <row r="13" spans="1:7" x14ac:dyDescent="0.35">
      <c r="A13" s="5">
        <v>47</v>
      </c>
      <c r="B13" s="1" t="s">
        <v>13</v>
      </c>
      <c r="C13" s="3">
        <v>75000</v>
      </c>
      <c r="D13" s="3" t="s">
        <v>9</v>
      </c>
      <c r="E13" s="3" t="s">
        <v>15</v>
      </c>
      <c r="F13" s="3" t="s">
        <v>23</v>
      </c>
      <c r="G13" s="3" t="s">
        <v>29</v>
      </c>
    </row>
    <row r="14" spans="1:7" x14ac:dyDescent="0.35">
      <c r="A14" s="5">
        <v>41</v>
      </c>
      <c r="B14" s="1" t="s">
        <v>8</v>
      </c>
      <c r="C14" s="3">
        <v>60000</v>
      </c>
      <c r="D14" s="3" t="s">
        <v>14</v>
      </c>
      <c r="E14" s="3" t="s">
        <v>10</v>
      </c>
      <c r="F14" s="3" t="s">
        <v>11</v>
      </c>
      <c r="G14" s="3" t="s">
        <v>30</v>
      </c>
    </row>
    <row r="15" spans="1:7" x14ac:dyDescent="0.35">
      <c r="A15" s="5">
        <v>38</v>
      </c>
      <c r="B15" s="1" t="s">
        <v>13</v>
      </c>
      <c r="C15" s="3">
        <v>52000</v>
      </c>
      <c r="D15" s="3" t="s">
        <v>17</v>
      </c>
      <c r="E15" s="3" t="s">
        <v>21</v>
      </c>
      <c r="F15" s="3" t="s">
        <v>11</v>
      </c>
      <c r="G15" s="3" t="s">
        <v>31</v>
      </c>
    </row>
    <row r="16" spans="1:7" x14ac:dyDescent="0.35">
      <c r="A16" s="5">
        <v>31</v>
      </c>
      <c r="B16" s="1" t="s">
        <v>8</v>
      </c>
      <c r="C16" s="3">
        <v>48000</v>
      </c>
      <c r="D16" s="3" t="s">
        <v>9</v>
      </c>
      <c r="E16" s="3" t="s">
        <v>15</v>
      </c>
      <c r="F16" s="3" t="s">
        <v>11</v>
      </c>
      <c r="G16" s="3" t="s">
        <v>12</v>
      </c>
    </row>
    <row r="17" spans="1:7" x14ac:dyDescent="0.35">
      <c r="A17" s="5">
        <v>49</v>
      </c>
      <c r="B17" s="1" t="s">
        <v>13</v>
      </c>
      <c r="C17" s="3">
        <v>85000</v>
      </c>
      <c r="D17" s="3" t="s">
        <v>20</v>
      </c>
      <c r="E17" s="3" t="s">
        <v>15</v>
      </c>
      <c r="F17" s="3" t="s">
        <v>11</v>
      </c>
      <c r="G17" s="3" t="s">
        <v>16</v>
      </c>
    </row>
    <row r="18" spans="1:7" x14ac:dyDescent="0.35">
      <c r="A18" s="5">
        <v>27</v>
      </c>
      <c r="B18" s="1" t="s">
        <v>8</v>
      </c>
      <c r="C18" s="3">
        <v>30000</v>
      </c>
      <c r="D18" s="3" t="s">
        <v>17</v>
      </c>
      <c r="E18" s="3" t="s">
        <v>10</v>
      </c>
      <c r="F18" s="3" t="s">
        <v>18</v>
      </c>
      <c r="G18" s="3" t="s">
        <v>19</v>
      </c>
    </row>
    <row r="19" spans="1:7" x14ac:dyDescent="0.35">
      <c r="A19" s="5">
        <v>54</v>
      </c>
      <c r="B19" s="1" t="s">
        <v>13</v>
      </c>
      <c r="C19" s="3">
        <v>92000</v>
      </c>
      <c r="D19" s="3" t="s">
        <v>14</v>
      </c>
      <c r="E19" s="3" t="s">
        <v>15</v>
      </c>
      <c r="F19" s="3" t="s">
        <v>11</v>
      </c>
      <c r="G19" s="3" t="s">
        <v>2</v>
      </c>
    </row>
    <row r="20" spans="1:7" x14ac:dyDescent="0.35">
      <c r="A20" s="5">
        <v>39</v>
      </c>
      <c r="B20" s="1" t="s">
        <v>8</v>
      </c>
      <c r="C20" s="3">
        <v>58000</v>
      </c>
      <c r="D20" s="3" t="s">
        <v>9</v>
      </c>
      <c r="E20" s="3" t="s">
        <v>15</v>
      </c>
      <c r="F20" s="3" t="s">
        <v>23</v>
      </c>
      <c r="G20" s="3" t="s">
        <v>24</v>
      </c>
    </row>
    <row r="21" spans="1:7" x14ac:dyDescent="0.35">
      <c r="A21" s="5">
        <v>30</v>
      </c>
      <c r="B21" s="1" t="s">
        <v>13</v>
      </c>
      <c r="C21" s="3">
        <v>42000</v>
      </c>
      <c r="D21" s="3" t="s">
        <v>25</v>
      </c>
      <c r="E21" s="3" t="s">
        <v>10</v>
      </c>
      <c r="F21" s="3" t="s">
        <v>11</v>
      </c>
      <c r="G21" s="3" t="s">
        <v>26</v>
      </c>
    </row>
    <row r="22" spans="1:7" x14ac:dyDescent="0.35">
      <c r="A22" s="5">
        <v>56</v>
      </c>
      <c r="B22" s="1" t="s">
        <v>8</v>
      </c>
      <c r="C22" s="3">
        <v>96000</v>
      </c>
      <c r="D22" s="3" t="s">
        <v>20</v>
      </c>
      <c r="E22" s="3" t="s">
        <v>15</v>
      </c>
      <c r="F22" s="3" t="s">
        <v>11</v>
      </c>
      <c r="G22" s="3" t="s">
        <v>22</v>
      </c>
    </row>
    <row r="23" spans="1:7" x14ac:dyDescent="0.35">
      <c r="A23" s="5">
        <v>35</v>
      </c>
      <c r="B23" s="1" t="s">
        <v>13</v>
      </c>
      <c r="C23" s="3">
        <v>55000</v>
      </c>
      <c r="D23" s="3" t="s">
        <v>9</v>
      </c>
      <c r="E23" s="3" t="s">
        <v>10</v>
      </c>
      <c r="F23" s="3" t="s">
        <v>11</v>
      </c>
      <c r="G23" s="3" t="s">
        <v>28</v>
      </c>
    </row>
    <row r="24" spans="1:7" x14ac:dyDescent="0.35">
      <c r="A24" s="5">
        <v>48</v>
      </c>
      <c r="B24" s="1" t="s">
        <v>8</v>
      </c>
      <c r="C24" s="3">
        <v>73000</v>
      </c>
      <c r="D24" s="3" t="s">
        <v>9</v>
      </c>
      <c r="E24" s="3" t="s">
        <v>15</v>
      </c>
      <c r="F24" s="3" t="s">
        <v>23</v>
      </c>
      <c r="G24" s="3" t="s">
        <v>29</v>
      </c>
    </row>
    <row r="25" spans="1:7" x14ac:dyDescent="0.35">
      <c r="A25" s="5">
        <v>42</v>
      </c>
      <c r="B25" s="1" t="s">
        <v>13</v>
      </c>
      <c r="C25" s="3">
        <v>65000</v>
      </c>
      <c r="D25" s="3" t="s">
        <v>14</v>
      </c>
      <c r="E25" s="3" t="s">
        <v>21</v>
      </c>
      <c r="F25" s="3" t="s">
        <v>11</v>
      </c>
      <c r="G25" s="3" t="s">
        <v>30</v>
      </c>
    </row>
    <row r="26" spans="1:7" x14ac:dyDescent="0.35">
      <c r="A26" s="5">
        <v>37</v>
      </c>
      <c r="B26" s="1" t="s">
        <v>8</v>
      </c>
      <c r="C26" s="3">
        <v>50000</v>
      </c>
      <c r="D26" s="3" t="s">
        <v>17</v>
      </c>
      <c r="E26" s="3" t="s">
        <v>15</v>
      </c>
      <c r="F26" s="3" t="s">
        <v>11</v>
      </c>
      <c r="G26" s="3" t="s">
        <v>31</v>
      </c>
    </row>
    <row r="27" spans="1:7" x14ac:dyDescent="0.35">
      <c r="A27" s="5">
        <v>34</v>
      </c>
      <c r="B27" s="1" t="s">
        <v>13</v>
      </c>
      <c r="C27" s="3">
        <v>49000</v>
      </c>
      <c r="D27" s="3" t="s">
        <v>9</v>
      </c>
      <c r="E27" s="3" t="s">
        <v>10</v>
      </c>
      <c r="F27" s="3" t="s">
        <v>18</v>
      </c>
      <c r="G27" s="3" t="s">
        <v>19</v>
      </c>
    </row>
    <row r="28" spans="1:7" x14ac:dyDescent="0.35">
      <c r="A28" s="5">
        <v>51</v>
      </c>
      <c r="B28" s="1" t="s">
        <v>8</v>
      </c>
      <c r="C28" s="3">
        <v>82000</v>
      </c>
      <c r="D28" s="3" t="s">
        <v>14</v>
      </c>
      <c r="E28" s="3" t="s">
        <v>15</v>
      </c>
      <c r="F28" s="3" t="s">
        <v>11</v>
      </c>
      <c r="G28" s="3" t="s">
        <v>27</v>
      </c>
    </row>
  </sheetData>
  <sortState xmlns:xlrd2="http://schemas.microsoft.com/office/spreadsheetml/2017/richdata2" ref="I23:I30">
    <sortCondition ref="I23"/>
  </sortState>
  <mergeCells count="1">
    <mergeCell ref="A1:G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7"/>
  <sheetViews>
    <sheetView zoomScale="73" zoomScaleNormal="40" workbookViewId="0">
      <selection activeCell="AD2" sqref="AD2"/>
    </sheetView>
  </sheetViews>
  <sheetFormatPr defaultRowHeight="14.5" x14ac:dyDescent="0.35"/>
  <cols>
    <col min="2" max="2" width="11.7265625" customWidth="1"/>
    <col min="3" max="3" width="11.1796875" customWidth="1"/>
    <col min="14" max="14" width="15.54296875" customWidth="1"/>
    <col min="15" max="15" width="11.36328125" customWidth="1"/>
    <col min="26" max="26" width="18.81640625" customWidth="1"/>
    <col min="37" max="37" width="13.81640625" customWidth="1"/>
  </cols>
  <sheetData>
    <row r="1" spans="1:47" ht="15" thickBot="1" x14ac:dyDescent="0.4">
      <c r="A1" s="2"/>
      <c r="B1" s="26" t="s">
        <v>62</v>
      </c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47" ht="15.5" thickTop="1" thickBot="1" x14ac:dyDescent="0.4">
      <c r="A2" s="2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AJ2" s="2"/>
      <c r="AU2" s="2"/>
    </row>
    <row r="3" spans="1:47" ht="15.5" thickTop="1" thickBot="1" x14ac:dyDescent="0.4">
      <c r="A3" s="2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AJ3" s="2"/>
      <c r="AU3" s="2"/>
    </row>
    <row r="4" spans="1:47" ht="15" thickTop="1" x14ac:dyDescent="0.35">
      <c r="A4" s="2"/>
      <c r="AJ4" s="2"/>
      <c r="AU4" s="2"/>
    </row>
    <row r="5" spans="1:47" x14ac:dyDescent="0.35">
      <c r="A5" s="2"/>
      <c r="B5" s="9" t="s">
        <v>32</v>
      </c>
      <c r="C5" s="9" t="s">
        <v>34</v>
      </c>
      <c r="D5" s="6"/>
      <c r="E5" s="6"/>
      <c r="F5" s="6"/>
      <c r="G5" s="6"/>
      <c r="H5" s="6"/>
      <c r="I5" s="6"/>
      <c r="J5" s="6"/>
      <c r="K5" s="6"/>
      <c r="L5" s="6"/>
      <c r="N5" s="19" t="s">
        <v>32</v>
      </c>
      <c r="O5" s="19" t="s">
        <v>34</v>
      </c>
      <c r="P5" s="12"/>
      <c r="Q5" s="12"/>
      <c r="R5" s="12"/>
      <c r="S5" s="12"/>
      <c r="T5" s="12"/>
      <c r="U5" s="12"/>
      <c r="V5" s="12"/>
      <c r="W5" s="12"/>
      <c r="X5" s="12"/>
      <c r="Z5" s="10" t="s">
        <v>6</v>
      </c>
      <c r="AA5" s="11" t="s">
        <v>35</v>
      </c>
      <c r="AB5" s="12"/>
      <c r="AC5" s="12"/>
      <c r="AD5" s="12"/>
      <c r="AE5" s="12"/>
      <c r="AF5" s="12"/>
      <c r="AG5" s="12"/>
      <c r="AH5" s="12"/>
      <c r="AI5" s="12"/>
      <c r="AJ5" s="2"/>
      <c r="AU5" s="2"/>
    </row>
    <row r="6" spans="1:47" x14ac:dyDescent="0.35">
      <c r="A6" s="2"/>
      <c r="B6" s="7">
        <v>25</v>
      </c>
      <c r="C6" s="8">
        <v>0</v>
      </c>
      <c r="D6" s="6"/>
      <c r="E6" s="6"/>
      <c r="F6" s="6"/>
      <c r="G6" s="6"/>
      <c r="H6" s="6"/>
      <c r="I6" s="6"/>
      <c r="J6" s="6"/>
      <c r="K6" s="6"/>
      <c r="L6" s="6"/>
      <c r="N6" s="17">
        <v>30000</v>
      </c>
      <c r="O6" s="18">
        <v>1</v>
      </c>
      <c r="P6" s="12"/>
      <c r="Q6" s="12"/>
      <c r="R6" s="12"/>
      <c r="S6" s="12"/>
      <c r="T6" s="12"/>
      <c r="U6" s="12"/>
      <c r="V6" s="12"/>
      <c r="W6" s="12"/>
      <c r="X6" s="12"/>
      <c r="Z6" s="14" t="s">
        <v>10</v>
      </c>
      <c r="AA6" s="11">
        <v>9</v>
      </c>
      <c r="AB6" s="12"/>
      <c r="AC6" s="12"/>
      <c r="AD6" s="12"/>
      <c r="AE6" s="12"/>
      <c r="AF6" s="12"/>
      <c r="AG6" s="12"/>
      <c r="AH6" s="12"/>
      <c r="AI6" s="12"/>
      <c r="AJ6" s="2"/>
      <c r="AU6" s="2"/>
    </row>
    <row r="7" spans="1:47" x14ac:dyDescent="0.35">
      <c r="A7" s="2"/>
      <c r="B7" s="7">
        <v>30</v>
      </c>
      <c r="C7" s="8">
        <v>4</v>
      </c>
      <c r="D7" s="6"/>
      <c r="E7" s="6"/>
      <c r="F7" s="6"/>
      <c r="G7" s="6"/>
      <c r="H7" s="6"/>
      <c r="I7" s="6"/>
      <c r="J7" s="6"/>
      <c r="K7" s="6"/>
      <c r="L7" s="6"/>
      <c r="N7" s="17">
        <v>40000</v>
      </c>
      <c r="O7" s="18">
        <v>2</v>
      </c>
      <c r="P7" s="12"/>
      <c r="Q7" s="12"/>
      <c r="R7" s="12"/>
      <c r="S7" s="12"/>
      <c r="T7" s="12"/>
      <c r="U7" s="12"/>
      <c r="V7" s="12"/>
      <c r="W7" s="12"/>
      <c r="X7" s="12"/>
      <c r="Z7" s="14" t="s">
        <v>15</v>
      </c>
      <c r="AA7" s="11">
        <v>13</v>
      </c>
      <c r="AB7" s="12"/>
      <c r="AC7" s="12"/>
      <c r="AD7" s="12"/>
      <c r="AE7" s="12"/>
      <c r="AF7" s="12"/>
      <c r="AG7" s="12"/>
      <c r="AH7" s="12"/>
      <c r="AI7" s="12"/>
      <c r="AJ7" s="2"/>
      <c r="AU7" s="2"/>
    </row>
    <row r="8" spans="1:47" x14ac:dyDescent="0.35">
      <c r="A8" s="2"/>
      <c r="B8" s="7">
        <v>35</v>
      </c>
      <c r="C8" s="8">
        <v>5</v>
      </c>
      <c r="D8" s="6"/>
      <c r="E8" s="6"/>
      <c r="F8" s="6"/>
      <c r="G8" s="6"/>
      <c r="H8" s="6"/>
      <c r="I8" s="6"/>
      <c r="J8" s="6"/>
      <c r="K8" s="6"/>
      <c r="L8" s="6"/>
      <c r="N8" s="17">
        <v>50000</v>
      </c>
      <c r="O8" s="18">
        <v>6</v>
      </c>
      <c r="P8" s="12"/>
      <c r="Q8" s="12"/>
      <c r="R8" s="12"/>
      <c r="S8" s="12"/>
      <c r="T8" s="12"/>
      <c r="U8" s="12"/>
      <c r="V8" s="12"/>
      <c r="W8" s="12"/>
      <c r="X8" s="12"/>
      <c r="Z8" s="14" t="s">
        <v>21</v>
      </c>
      <c r="AA8" s="11">
        <v>3</v>
      </c>
      <c r="AB8" s="12"/>
      <c r="AC8" s="12"/>
      <c r="AD8" s="12"/>
      <c r="AE8" s="12"/>
      <c r="AF8" s="12"/>
      <c r="AG8" s="12"/>
      <c r="AH8" s="12"/>
      <c r="AI8" s="12"/>
      <c r="AJ8" s="2"/>
      <c r="AU8" s="2"/>
    </row>
    <row r="9" spans="1:47" x14ac:dyDescent="0.35">
      <c r="A9" s="2"/>
      <c r="B9" s="7">
        <v>40</v>
      </c>
      <c r="C9" s="8">
        <v>5</v>
      </c>
      <c r="D9" s="6"/>
      <c r="E9" s="6"/>
      <c r="F9" s="6"/>
      <c r="G9" s="6"/>
      <c r="H9" s="6"/>
      <c r="I9" s="6"/>
      <c r="J9" s="6"/>
      <c r="K9" s="6"/>
      <c r="L9" s="6"/>
      <c r="N9" s="17">
        <v>60000</v>
      </c>
      <c r="O9" s="18">
        <v>5</v>
      </c>
      <c r="P9" s="12"/>
      <c r="Q9" s="12"/>
      <c r="R9" s="12"/>
      <c r="S9" s="12"/>
      <c r="T9" s="12"/>
      <c r="U9" s="12"/>
      <c r="V9" s="12"/>
      <c r="W9" s="12"/>
      <c r="X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2"/>
      <c r="AU9" s="2"/>
    </row>
    <row r="10" spans="1:47" x14ac:dyDescent="0.35">
      <c r="A10" s="2"/>
      <c r="B10" s="7">
        <v>45</v>
      </c>
      <c r="C10" s="8">
        <v>3</v>
      </c>
      <c r="D10" s="6"/>
      <c r="E10" s="6"/>
      <c r="F10" s="6"/>
      <c r="G10" s="6"/>
      <c r="H10" s="6"/>
      <c r="I10" s="6"/>
      <c r="J10" s="6"/>
      <c r="K10" s="6"/>
      <c r="L10" s="6"/>
      <c r="N10" s="17">
        <v>70000</v>
      </c>
      <c r="O10" s="18">
        <v>3</v>
      </c>
      <c r="P10" s="12"/>
      <c r="Q10" s="12"/>
      <c r="R10" s="12"/>
      <c r="S10" s="12"/>
      <c r="T10" s="12"/>
      <c r="U10" s="12"/>
      <c r="V10" s="12"/>
      <c r="W10" s="12"/>
      <c r="X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2"/>
      <c r="AU10" s="2"/>
    </row>
    <row r="11" spans="1:47" x14ac:dyDescent="0.35">
      <c r="A11" s="2"/>
      <c r="B11" s="7">
        <v>50</v>
      </c>
      <c r="C11" s="8">
        <v>3</v>
      </c>
      <c r="D11" s="6"/>
      <c r="E11" s="6"/>
      <c r="F11" s="6"/>
      <c r="G11" s="6"/>
      <c r="H11" s="6"/>
      <c r="I11" s="6"/>
      <c r="J11" s="6"/>
      <c r="K11" s="6"/>
      <c r="L11" s="6"/>
      <c r="N11" s="17">
        <v>80000</v>
      </c>
      <c r="O11" s="18">
        <v>3</v>
      </c>
      <c r="P11" s="12"/>
      <c r="Q11" s="12"/>
      <c r="R11" s="12"/>
      <c r="S11" s="12"/>
      <c r="T11" s="12"/>
      <c r="U11" s="12"/>
      <c r="V11" s="12"/>
      <c r="W11" s="12"/>
      <c r="X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2"/>
      <c r="AU11" s="2"/>
    </row>
    <row r="12" spans="1:47" x14ac:dyDescent="0.35">
      <c r="A12" s="2"/>
      <c r="B12" s="7">
        <v>55</v>
      </c>
      <c r="C12" s="8">
        <v>4</v>
      </c>
      <c r="D12" s="6"/>
      <c r="E12" s="6"/>
      <c r="F12" s="6"/>
      <c r="G12" s="6"/>
      <c r="H12" s="6"/>
      <c r="I12" s="6"/>
      <c r="J12" s="6"/>
      <c r="K12" s="6"/>
      <c r="L12" s="6"/>
      <c r="N12" s="17">
        <v>90000</v>
      </c>
      <c r="O12" s="18">
        <v>3</v>
      </c>
      <c r="P12" s="12"/>
      <c r="Q12" s="12"/>
      <c r="R12" s="12"/>
      <c r="S12" s="12"/>
      <c r="T12" s="12"/>
      <c r="U12" s="12"/>
      <c r="V12" s="12"/>
      <c r="W12" s="12"/>
      <c r="X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2"/>
      <c r="AU12" s="2"/>
    </row>
    <row r="13" spans="1:47" x14ac:dyDescent="0.35">
      <c r="A13" s="2"/>
      <c r="B13" s="7">
        <v>60</v>
      </c>
      <c r="C13" s="8">
        <v>1</v>
      </c>
      <c r="D13" s="6"/>
      <c r="E13" s="6"/>
      <c r="F13" s="6"/>
      <c r="G13" s="6"/>
      <c r="H13" s="6"/>
      <c r="I13" s="6"/>
      <c r="J13" s="6"/>
      <c r="K13" s="6"/>
      <c r="L13" s="6"/>
      <c r="N13" s="17">
        <v>100000</v>
      </c>
      <c r="O13" s="18">
        <v>2</v>
      </c>
      <c r="P13" s="12"/>
      <c r="Q13" s="12"/>
      <c r="R13" s="12"/>
      <c r="S13" s="12"/>
      <c r="T13" s="12"/>
      <c r="U13" s="12"/>
      <c r="V13" s="12"/>
      <c r="W13" s="12"/>
      <c r="X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2"/>
      <c r="AU13" s="2"/>
    </row>
    <row r="14" spans="1:47" x14ac:dyDescent="0.35">
      <c r="A14" s="2"/>
      <c r="B14" s="8" t="s">
        <v>33</v>
      </c>
      <c r="C14" s="8">
        <v>0</v>
      </c>
      <c r="D14" s="6"/>
      <c r="E14" s="6"/>
      <c r="F14" s="6"/>
      <c r="G14" s="6"/>
      <c r="H14" s="6"/>
      <c r="I14" s="6"/>
      <c r="J14" s="6"/>
      <c r="K14" s="6"/>
      <c r="L14" s="6"/>
      <c r="N14" s="18" t="s">
        <v>33</v>
      </c>
      <c r="O14" s="18">
        <v>0</v>
      </c>
      <c r="P14" s="12"/>
      <c r="Q14" s="12"/>
      <c r="R14" s="12"/>
      <c r="S14" s="12"/>
      <c r="T14" s="12"/>
      <c r="U14" s="12"/>
      <c r="V14" s="12"/>
      <c r="W14" s="12"/>
      <c r="X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2"/>
      <c r="AU14" s="2"/>
    </row>
    <row r="15" spans="1:47" x14ac:dyDescent="0.35">
      <c r="A15" s="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x14ac:dyDescent="0.35">
      <c r="A16" s="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 spans="1:36" x14ac:dyDescent="0.3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spans="1:36" x14ac:dyDescent="0.3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2"/>
    </row>
    <row r="19" spans="1:36" x14ac:dyDescent="0.3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AJ19" s="2"/>
    </row>
    <row r="20" spans="1:36" x14ac:dyDescent="0.35">
      <c r="AJ20" s="2"/>
    </row>
    <row r="21" spans="1:36" x14ac:dyDescent="0.35">
      <c r="A21" s="1"/>
      <c r="B21" s="15" t="s">
        <v>0</v>
      </c>
      <c r="C21" s="16" t="s">
        <v>35</v>
      </c>
      <c r="D21" s="12"/>
      <c r="E21" s="12"/>
      <c r="F21" s="12"/>
      <c r="G21" s="12"/>
      <c r="H21" s="12"/>
      <c r="I21" s="12"/>
      <c r="J21" s="12"/>
      <c r="K21" s="12"/>
      <c r="L21" s="13"/>
      <c r="N21" s="10" t="s">
        <v>3</v>
      </c>
      <c r="O21" s="11" t="s">
        <v>35</v>
      </c>
      <c r="P21" s="12"/>
      <c r="Q21" s="12"/>
      <c r="R21" s="12"/>
      <c r="S21" s="12"/>
      <c r="T21" s="12"/>
      <c r="U21" s="12"/>
      <c r="V21" s="12"/>
      <c r="W21" s="12"/>
      <c r="X21" s="12"/>
      <c r="Z21" s="10" t="s">
        <v>7</v>
      </c>
      <c r="AA21" s="11" t="s">
        <v>35</v>
      </c>
      <c r="AB21" s="12"/>
      <c r="AC21" s="12"/>
      <c r="AD21" s="12"/>
      <c r="AE21" s="12"/>
      <c r="AF21" s="12"/>
      <c r="AG21" s="12"/>
      <c r="AH21" s="12"/>
      <c r="AI21" s="12"/>
      <c r="AJ21" s="2"/>
    </row>
    <row r="22" spans="1:36" x14ac:dyDescent="0.35">
      <c r="A22" s="1"/>
      <c r="B22" s="14" t="s">
        <v>13</v>
      </c>
      <c r="C22" s="11">
        <v>12</v>
      </c>
      <c r="D22" s="12"/>
      <c r="E22" s="12"/>
      <c r="F22" s="12"/>
      <c r="G22" s="12"/>
      <c r="H22" s="12"/>
      <c r="I22" s="12"/>
      <c r="J22" s="12"/>
      <c r="K22" s="12"/>
      <c r="L22" s="13"/>
      <c r="N22" s="14" t="s">
        <v>17</v>
      </c>
      <c r="O22" s="11">
        <v>4</v>
      </c>
      <c r="P22" s="12"/>
      <c r="Q22" s="12"/>
      <c r="R22" s="12"/>
      <c r="S22" s="12"/>
      <c r="T22" s="12"/>
      <c r="U22" s="12"/>
      <c r="V22" s="12"/>
      <c r="W22" s="12"/>
      <c r="X22" s="12"/>
      <c r="Z22" s="14" t="s">
        <v>11</v>
      </c>
      <c r="AA22" s="11">
        <v>19</v>
      </c>
      <c r="AB22" s="12"/>
      <c r="AC22" s="12"/>
      <c r="AD22" s="12"/>
      <c r="AE22" s="12"/>
      <c r="AF22" s="12"/>
      <c r="AG22" s="12"/>
      <c r="AH22" s="12"/>
      <c r="AI22" s="12"/>
      <c r="AJ22" s="2"/>
    </row>
    <row r="23" spans="1:36" x14ac:dyDescent="0.35">
      <c r="A23" s="1"/>
      <c r="B23" s="14" t="s">
        <v>8</v>
      </c>
      <c r="C23" s="11">
        <v>13</v>
      </c>
      <c r="D23" s="12"/>
      <c r="E23" s="12"/>
      <c r="F23" s="12"/>
      <c r="G23" s="12"/>
      <c r="H23" s="12"/>
      <c r="I23" s="12"/>
      <c r="J23" s="12"/>
      <c r="K23" s="12"/>
      <c r="L23" s="13"/>
      <c r="N23" s="14" t="s">
        <v>25</v>
      </c>
      <c r="O23" s="11">
        <v>2</v>
      </c>
      <c r="P23" s="12"/>
      <c r="Q23" s="12"/>
      <c r="R23" s="12"/>
      <c r="S23" s="12"/>
      <c r="T23" s="12"/>
      <c r="U23" s="12"/>
      <c r="V23" s="12"/>
      <c r="W23" s="12"/>
      <c r="X23" s="12"/>
      <c r="Z23" s="14" t="s">
        <v>23</v>
      </c>
      <c r="AA23" s="11">
        <v>3</v>
      </c>
      <c r="AB23" s="12"/>
      <c r="AC23" s="12"/>
      <c r="AD23" s="12"/>
      <c r="AE23" s="12"/>
      <c r="AF23" s="12"/>
      <c r="AG23" s="12"/>
      <c r="AH23" s="12"/>
      <c r="AI23" s="12"/>
      <c r="AJ23" s="2"/>
    </row>
    <row r="24" spans="1:36" x14ac:dyDescent="0.35">
      <c r="A24" s="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3"/>
      <c r="N24" s="14" t="s">
        <v>9</v>
      </c>
      <c r="O24" s="11">
        <v>10</v>
      </c>
      <c r="P24" s="12"/>
      <c r="Q24" s="12"/>
      <c r="R24" s="12"/>
      <c r="S24" s="12"/>
      <c r="T24" s="12"/>
      <c r="U24" s="12"/>
      <c r="V24" s="12"/>
      <c r="W24" s="12"/>
      <c r="X24" s="12"/>
      <c r="Z24" s="14" t="s">
        <v>18</v>
      </c>
      <c r="AA24" s="11">
        <v>3</v>
      </c>
      <c r="AB24" s="12"/>
      <c r="AC24" s="12"/>
      <c r="AD24" s="12"/>
      <c r="AE24" s="12"/>
      <c r="AF24" s="12"/>
      <c r="AG24" s="12"/>
      <c r="AH24" s="12"/>
      <c r="AI24" s="12"/>
      <c r="AJ24" s="2"/>
    </row>
    <row r="25" spans="1:36" x14ac:dyDescent="0.35">
      <c r="A25" s="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/>
      <c r="N25" s="14" t="s">
        <v>14</v>
      </c>
      <c r="O25" s="11">
        <v>6</v>
      </c>
      <c r="P25" s="12"/>
      <c r="Q25" s="12"/>
      <c r="R25" s="12"/>
      <c r="S25" s="12"/>
      <c r="T25" s="12"/>
      <c r="U25" s="12"/>
      <c r="V25" s="12"/>
      <c r="W25" s="12"/>
      <c r="X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2"/>
    </row>
    <row r="26" spans="1:36" x14ac:dyDescent="0.35">
      <c r="A26" s="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3"/>
      <c r="N26" s="14" t="s">
        <v>20</v>
      </c>
      <c r="O26" s="11">
        <v>3</v>
      </c>
      <c r="P26" s="12"/>
      <c r="Q26" s="12"/>
      <c r="R26" s="12"/>
      <c r="S26" s="12"/>
      <c r="T26" s="12"/>
      <c r="U26" s="12"/>
      <c r="V26" s="12"/>
      <c r="W26" s="12"/>
      <c r="X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2"/>
    </row>
    <row r="27" spans="1:36" x14ac:dyDescent="0.35">
      <c r="A27" s="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</row>
    <row r="28" spans="1:36" x14ac:dyDescent="0.35">
      <c r="A28" s="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3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 spans="1:36" x14ac:dyDescent="0.35">
      <c r="A29" s="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1:36" x14ac:dyDescent="0.35">
      <c r="A30" s="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3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 spans="1:36" x14ac:dyDescent="0.35">
      <c r="A31" s="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3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 spans="1:36" x14ac:dyDescent="0.35">
      <c r="A32" s="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 spans="2:24" x14ac:dyDescent="0.35"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2:24" x14ac:dyDescent="0.35"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2:24" x14ac:dyDescent="0.35">
      <c r="B35" s="10" t="s">
        <v>4</v>
      </c>
      <c r="C35" s="11" t="s">
        <v>35</v>
      </c>
      <c r="D35" s="12"/>
      <c r="E35" s="12"/>
      <c r="F35" s="12"/>
      <c r="G35" s="12"/>
      <c r="H35" s="12"/>
      <c r="I35" s="12"/>
      <c r="J35" s="12"/>
      <c r="K35" s="12"/>
    </row>
    <row r="36" spans="2:24" x14ac:dyDescent="0.35">
      <c r="B36" s="14" t="s">
        <v>12</v>
      </c>
      <c r="C36" s="11">
        <v>2</v>
      </c>
      <c r="D36" s="12"/>
      <c r="E36" s="12"/>
      <c r="F36" s="12"/>
      <c r="G36" s="12"/>
      <c r="H36" s="12"/>
      <c r="I36" s="12"/>
      <c r="J36" s="12"/>
      <c r="K36" s="12"/>
    </row>
    <row r="37" spans="2:24" x14ac:dyDescent="0.35">
      <c r="B37" s="14" t="s">
        <v>16</v>
      </c>
      <c r="C37" s="11">
        <v>2</v>
      </c>
      <c r="D37" s="12"/>
      <c r="E37" s="12"/>
      <c r="F37" s="12"/>
      <c r="G37" s="12"/>
      <c r="H37" s="12"/>
      <c r="I37" s="12"/>
      <c r="J37" s="12"/>
      <c r="K37" s="12"/>
    </row>
    <row r="38" spans="2:24" x14ac:dyDescent="0.35">
      <c r="B38" s="14" t="s">
        <v>19</v>
      </c>
      <c r="C38" s="11">
        <v>3</v>
      </c>
      <c r="D38" s="12"/>
      <c r="E38" s="12"/>
      <c r="F38" s="12"/>
      <c r="G38" s="12"/>
      <c r="H38" s="12"/>
      <c r="I38" s="12"/>
      <c r="J38" s="12"/>
      <c r="K38" s="12"/>
    </row>
    <row r="39" spans="2:24" x14ac:dyDescent="0.35">
      <c r="B39" s="14" t="s">
        <v>2</v>
      </c>
      <c r="C39" s="11">
        <v>2</v>
      </c>
      <c r="D39" s="12"/>
      <c r="E39" s="12"/>
      <c r="F39" s="12"/>
      <c r="G39" s="12"/>
      <c r="H39" s="12"/>
      <c r="I39" s="12"/>
      <c r="J39" s="12"/>
      <c r="K39" s="12"/>
    </row>
    <row r="40" spans="2:24" x14ac:dyDescent="0.35">
      <c r="B40" s="14" t="s">
        <v>22</v>
      </c>
      <c r="C40" s="11">
        <v>2</v>
      </c>
      <c r="D40" s="12"/>
      <c r="E40" s="12"/>
      <c r="F40" s="12"/>
      <c r="G40" s="12"/>
      <c r="H40" s="12"/>
      <c r="I40" s="12"/>
      <c r="J40" s="12"/>
      <c r="K40" s="12"/>
    </row>
    <row r="41" spans="2:24" x14ac:dyDescent="0.35">
      <c r="B41" s="14" t="s">
        <v>24</v>
      </c>
      <c r="C41" s="11">
        <v>2</v>
      </c>
      <c r="D41" s="12"/>
      <c r="E41" s="12"/>
      <c r="F41" s="12"/>
      <c r="G41" s="12"/>
      <c r="H41" s="12"/>
      <c r="I41" s="12"/>
      <c r="J41" s="12"/>
      <c r="K41" s="12"/>
    </row>
    <row r="42" spans="2:24" x14ac:dyDescent="0.35">
      <c r="B42" s="14" t="s">
        <v>26</v>
      </c>
      <c r="C42" s="11">
        <v>2</v>
      </c>
      <c r="D42" s="12"/>
      <c r="E42" s="12"/>
      <c r="F42" s="12"/>
      <c r="G42" s="12"/>
      <c r="H42" s="12"/>
      <c r="I42" s="12"/>
      <c r="J42" s="12"/>
      <c r="K42" s="12"/>
    </row>
    <row r="43" spans="2:24" x14ac:dyDescent="0.35">
      <c r="B43" s="14" t="s">
        <v>27</v>
      </c>
      <c r="C43" s="11">
        <v>2</v>
      </c>
      <c r="D43" s="12"/>
      <c r="E43" s="12"/>
      <c r="F43" s="12"/>
      <c r="G43" s="12"/>
      <c r="H43" s="12"/>
      <c r="I43" s="12"/>
      <c r="J43" s="12"/>
      <c r="K43" s="12"/>
    </row>
    <row r="44" spans="2:24" x14ac:dyDescent="0.35">
      <c r="B44" s="14" t="s">
        <v>28</v>
      </c>
      <c r="C44" s="11">
        <v>2</v>
      </c>
      <c r="D44" s="12"/>
      <c r="E44" s="12"/>
      <c r="F44" s="12"/>
      <c r="G44" s="12"/>
      <c r="H44" s="12"/>
      <c r="I44" s="12"/>
      <c r="J44" s="12"/>
      <c r="K44" s="12"/>
    </row>
    <row r="45" spans="2:24" ht="29" x14ac:dyDescent="0.35">
      <c r="B45" s="14" t="s">
        <v>29</v>
      </c>
      <c r="C45" s="11">
        <v>2</v>
      </c>
      <c r="D45" s="12"/>
      <c r="E45" s="12"/>
      <c r="F45" s="12"/>
      <c r="G45" s="12"/>
      <c r="H45" s="12"/>
      <c r="I45" s="12"/>
      <c r="J45" s="12"/>
      <c r="K45" s="12"/>
    </row>
    <row r="46" spans="2:24" x14ac:dyDescent="0.35">
      <c r="B46" s="14" t="s">
        <v>30</v>
      </c>
      <c r="C46" s="11">
        <v>2</v>
      </c>
      <c r="D46" s="12"/>
      <c r="E46" s="12"/>
      <c r="F46" s="12"/>
      <c r="G46" s="12"/>
      <c r="H46" s="12"/>
      <c r="I46" s="12"/>
      <c r="J46" s="12"/>
      <c r="K46" s="12"/>
    </row>
    <row r="47" spans="2:24" x14ac:dyDescent="0.35">
      <c r="B47" s="14" t="s">
        <v>31</v>
      </c>
      <c r="C47" s="11">
        <v>2</v>
      </c>
      <c r="D47" s="12"/>
      <c r="E47" s="12"/>
      <c r="F47" s="12"/>
      <c r="G47" s="12"/>
      <c r="H47" s="12"/>
      <c r="I47" s="12"/>
      <c r="J47" s="12"/>
      <c r="K47" s="12"/>
    </row>
  </sheetData>
  <sortState xmlns:xlrd2="http://schemas.microsoft.com/office/spreadsheetml/2017/richdata2" ref="A1:A2">
    <sortCondition ref="A2"/>
  </sortState>
  <mergeCells count="1">
    <mergeCell ref="B1:L3"/>
  </mergeCells>
  <phoneticPr fontId="7" type="noConversion"/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87A7-9FE7-48D7-9B9C-701CA1116E23}">
  <dimension ref="A1:E52"/>
  <sheetViews>
    <sheetView zoomScale="79" workbookViewId="0">
      <selection activeCell="F34" sqref="F34"/>
    </sheetView>
  </sheetViews>
  <sheetFormatPr defaultRowHeight="14.5" x14ac:dyDescent="0.35"/>
  <cols>
    <col min="1" max="1" width="12.6328125" customWidth="1"/>
    <col min="2" max="3" width="12.26953125" customWidth="1"/>
    <col min="5" max="5" width="10.453125" customWidth="1"/>
    <col min="9" max="9" width="8.6328125" customWidth="1"/>
    <col min="12" max="12" width="10.6328125" customWidth="1"/>
  </cols>
  <sheetData>
    <row r="1" spans="1:5" ht="15" thickBot="1" x14ac:dyDescent="0.4">
      <c r="A1" s="24" t="s">
        <v>63</v>
      </c>
      <c r="B1" s="24"/>
      <c r="C1" s="24"/>
      <c r="D1" s="24"/>
      <c r="E1" s="24"/>
    </row>
    <row r="2" spans="1:5" ht="15.5" thickTop="1" thickBot="1" x14ac:dyDescent="0.4">
      <c r="A2" s="24"/>
      <c r="B2" s="24"/>
      <c r="C2" s="24"/>
      <c r="D2" s="24"/>
      <c r="E2" s="24"/>
    </row>
    <row r="3" spans="1:5" ht="15" thickTop="1" x14ac:dyDescent="0.35"/>
    <row r="4" spans="1:5" x14ac:dyDescent="0.35">
      <c r="A4" s="20" t="s">
        <v>36</v>
      </c>
      <c r="B4" s="20" t="s">
        <v>37</v>
      </c>
      <c r="C4" s="20" t="s">
        <v>38</v>
      </c>
      <c r="D4" s="20" t="s">
        <v>39</v>
      </c>
      <c r="E4" s="20" t="s">
        <v>0</v>
      </c>
    </row>
    <row r="5" spans="1:5" x14ac:dyDescent="0.35">
      <c r="A5">
        <v>1</v>
      </c>
      <c r="B5">
        <v>85</v>
      </c>
      <c r="C5">
        <v>92</v>
      </c>
      <c r="D5">
        <v>19</v>
      </c>
      <c r="E5" t="s">
        <v>13</v>
      </c>
    </row>
    <row r="6" spans="1:5" x14ac:dyDescent="0.35">
      <c r="A6">
        <v>2</v>
      </c>
      <c r="B6">
        <v>92</v>
      </c>
      <c r="C6">
        <v>87</v>
      </c>
      <c r="D6">
        <v>20</v>
      </c>
      <c r="E6" t="s">
        <v>8</v>
      </c>
    </row>
    <row r="7" spans="1:5" x14ac:dyDescent="0.35">
      <c r="A7">
        <v>3</v>
      </c>
      <c r="B7">
        <v>78</v>
      </c>
      <c r="C7">
        <v>80</v>
      </c>
      <c r="D7">
        <v>18</v>
      </c>
      <c r="E7" t="s">
        <v>13</v>
      </c>
    </row>
    <row r="8" spans="1:5" x14ac:dyDescent="0.35">
      <c r="A8">
        <v>4</v>
      </c>
      <c r="B8">
        <v>85</v>
      </c>
      <c r="C8">
        <v>89</v>
      </c>
      <c r="D8">
        <v>19</v>
      </c>
      <c r="E8" t="s">
        <v>13</v>
      </c>
    </row>
    <row r="9" spans="1:5" x14ac:dyDescent="0.35">
      <c r="A9">
        <v>5</v>
      </c>
      <c r="B9">
        <v>90</v>
      </c>
      <c r="C9">
        <v>95</v>
      </c>
      <c r="D9">
        <v>21</v>
      </c>
      <c r="E9" t="s">
        <v>8</v>
      </c>
    </row>
    <row r="10" spans="1:5" x14ac:dyDescent="0.35">
      <c r="A10">
        <v>6</v>
      </c>
      <c r="B10">
        <v>75</v>
      </c>
      <c r="C10">
        <v>82</v>
      </c>
      <c r="D10">
        <v>18</v>
      </c>
      <c r="E10" t="s">
        <v>13</v>
      </c>
    </row>
    <row r="11" spans="1:5" x14ac:dyDescent="0.35">
      <c r="A11">
        <v>7</v>
      </c>
      <c r="B11">
        <v>83</v>
      </c>
      <c r="C11">
        <v>87</v>
      </c>
      <c r="D11">
        <v>20</v>
      </c>
      <c r="E11" t="s">
        <v>8</v>
      </c>
    </row>
    <row r="12" spans="1:5" x14ac:dyDescent="0.35">
      <c r="A12">
        <v>8</v>
      </c>
      <c r="B12">
        <v>92</v>
      </c>
      <c r="C12">
        <v>90</v>
      </c>
      <c r="D12">
        <v>19</v>
      </c>
      <c r="E12" t="s">
        <v>13</v>
      </c>
    </row>
    <row r="13" spans="1:5" x14ac:dyDescent="0.35">
      <c r="A13">
        <v>9</v>
      </c>
      <c r="B13">
        <v>80</v>
      </c>
      <c r="C13">
        <v>85</v>
      </c>
      <c r="D13">
        <v>18</v>
      </c>
      <c r="E13" t="s">
        <v>8</v>
      </c>
    </row>
    <row r="14" spans="1:5" x14ac:dyDescent="0.35">
      <c r="A14">
        <v>10</v>
      </c>
      <c r="B14">
        <v>87</v>
      </c>
      <c r="C14">
        <v>88</v>
      </c>
      <c r="D14">
        <v>20</v>
      </c>
      <c r="E14" t="s">
        <v>8</v>
      </c>
    </row>
    <row r="16" spans="1:5" x14ac:dyDescent="0.35">
      <c r="A16" s="20" t="s">
        <v>40</v>
      </c>
      <c r="B16" s="20" t="s">
        <v>44</v>
      </c>
      <c r="C16" s="20" t="s">
        <v>45</v>
      </c>
    </row>
    <row r="17" spans="1:3" x14ac:dyDescent="0.35">
      <c r="A17" t="s">
        <v>41</v>
      </c>
      <c r="B17">
        <f>AVERAGE(Table9[Test1 Score])</f>
        <v>84.7</v>
      </c>
      <c r="C17">
        <f>AVERAGE(C5:C14)</f>
        <v>87.5</v>
      </c>
    </row>
    <row r="18" spans="1:3" x14ac:dyDescent="0.35">
      <c r="A18" t="s">
        <v>42</v>
      </c>
      <c r="B18">
        <f>MEDIAN(Table9[Test1 Score])</f>
        <v>85</v>
      </c>
      <c r="C18">
        <f>MEDIAN(Table9[Test2 Score])</f>
        <v>87.5</v>
      </c>
    </row>
    <row r="19" spans="1:3" x14ac:dyDescent="0.35">
      <c r="A19" t="s">
        <v>43</v>
      </c>
      <c r="B19">
        <f>_xlfn.MODE.SNGL(Table9[Test1 Score])</f>
        <v>85</v>
      </c>
      <c r="C19">
        <f>_xlfn.MODE.SNGL(Table9[Test2 Score])</f>
        <v>87</v>
      </c>
    </row>
    <row r="21" spans="1:3" x14ac:dyDescent="0.35">
      <c r="A21" t="s">
        <v>47</v>
      </c>
      <c r="B21" t="s">
        <v>44</v>
      </c>
      <c r="C21" t="s">
        <v>45</v>
      </c>
    </row>
    <row r="22" spans="1:3" x14ac:dyDescent="0.35">
      <c r="A22" s="21">
        <v>0.25</v>
      </c>
      <c r="B22">
        <f>PERCENTILE(Table9[Test1 Score],0.25)</f>
        <v>80.75</v>
      </c>
      <c r="C22">
        <f>PERCENTILE(C5:C14,0.25)</f>
        <v>85.5</v>
      </c>
    </row>
    <row r="23" spans="1:3" x14ac:dyDescent="0.35">
      <c r="A23" s="21">
        <v>0.5</v>
      </c>
      <c r="B23">
        <f>PERCENTILE(Table9[Test1 Score],0.5)</f>
        <v>85</v>
      </c>
      <c r="C23">
        <f>PERCENTILE(C6:C15,0.5)</f>
        <v>87</v>
      </c>
    </row>
    <row r="24" spans="1:3" x14ac:dyDescent="0.35">
      <c r="A24" s="21">
        <v>0.75</v>
      </c>
      <c r="B24">
        <f>PERCENTILE(Table9[Test1 Score],0.75)</f>
        <v>89.25</v>
      </c>
      <c r="C24">
        <f>PERCENTILE(C7:C16,0.75)</f>
        <v>89.25</v>
      </c>
    </row>
    <row r="26" spans="1:3" x14ac:dyDescent="0.35">
      <c r="A26" t="s">
        <v>48</v>
      </c>
      <c r="B26" t="s">
        <v>44</v>
      </c>
      <c r="C26" t="s">
        <v>45</v>
      </c>
    </row>
    <row r="27" spans="1:3" x14ac:dyDescent="0.35">
      <c r="A27" s="21">
        <v>0.3</v>
      </c>
      <c r="B27">
        <f>_xlfn.PERCENTILE.INC(Table9[Test1 Score],0.3)</f>
        <v>82.1</v>
      </c>
      <c r="C27">
        <f>PERCENTILE(Table9[Test2 Score],0.3)</f>
        <v>86.4</v>
      </c>
    </row>
    <row r="28" spans="1:3" x14ac:dyDescent="0.35">
      <c r="A28" s="21">
        <v>0.4</v>
      </c>
      <c r="B28">
        <f>_xlfn.PERCENTILE.INC(Table9[Test1 Score],0.4)</f>
        <v>84.2</v>
      </c>
      <c r="C28">
        <f>PERCENTILE(Table9[Test2 Score],0.4)</f>
        <v>87</v>
      </c>
    </row>
    <row r="29" spans="1:3" x14ac:dyDescent="0.35">
      <c r="A29" s="21">
        <v>0.5</v>
      </c>
      <c r="B29">
        <f>_xlfn.PERCENTILE.INC(Table9[Test1 Score],0.3)</f>
        <v>82.1</v>
      </c>
      <c r="C29">
        <f>PERCENTILE(Table9[Test2 Score],0.5)</f>
        <v>87.5</v>
      </c>
    </row>
    <row r="31" spans="1:3" x14ac:dyDescent="0.35">
      <c r="A31" t="s">
        <v>49</v>
      </c>
      <c r="B31" t="s">
        <v>44</v>
      </c>
      <c r="C31" t="s">
        <v>45</v>
      </c>
    </row>
    <row r="32" spans="1:3" x14ac:dyDescent="0.35">
      <c r="A32" t="s">
        <v>50</v>
      </c>
      <c r="B32">
        <f>_xlfn.QUARTILE.INC(B5:B14,1)</f>
        <v>80.75</v>
      </c>
      <c r="C32">
        <f>_xlfn.QUARTILE.INC(C5:C14,1)</f>
        <v>85.5</v>
      </c>
    </row>
    <row r="33" spans="1:5" x14ac:dyDescent="0.35">
      <c r="A33" t="s">
        <v>51</v>
      </c>
      <c r="B33">
        <f>_xlfn.QUARTILE.INC(B5:B14,3)</f>
        <v>89.25</v>
      </c>
      <c r="C33">
        <f>_xlfn.QUARTILE.INC(C5:C14,3)</f>
        <v>89.75</v>
      </c>
    </row>
    <row r="35" spans="1:5" x14ac:dyDescent="0.35">
      <c r="A35" s="20" t="s">
        <v>52</v>
      </c>
      <c r="B35" s="20" t="s">
        <v>53</v>
      </c>
      <c r="D35" t="s">
        <v>52</v>
      </c>
      <c r="E35" t="s">
        <v>58</v>
      </c>
    </row>
    <row r="36" spans="1:5" x14ac:dyDescent="0.35">
      <c r="A36">
        <v>1</v>
      </c>
      <c r="B36">
        <f>MAX(B5:B14)-MIN(B5:B14)</f>
        <v>17</v>
      </c>
      <c r="D36">
        <v>1</v>
      </c>
      <c r="E36">
        <f>SKEW(B5:B14)</f>
        <v>-0.27086367480472284</v>
      </c>
    </row>
    <row r="37" spans="1:5" x14ac:dyDescent="0.35">
      <c r="A37">
        <v>2</v>
      </c>
      <c r="B37">
        <f>MAX(C5:C14)-MIN(C5:C14)</f>
        <v>15</v>
      </c>
      <c r="D37">
        <v>2</v>
      </c>
      <c r="E37">
        <f>SKEW(C5:C14)</f>
        <v>-0.11321564196783324</v>
      </c>
    </row>
    <row r="39" spans="1:5" x14ac:dyDescent="0.35">
      <c r="A39" s="20" t="s">
        <v>52</v>
      </c>
      <c r="B39" s="20" t="s">
        <v>54</v>
      </c>
      <c r="D39" t="s">
        <v>55</v>
      </c>
      <c r="E39" t="s">
        <v>59</v>
      </c>
    </row>
    <row r="40" spans="1:5" x14ac:dyDescent="0.35">
      <c r="A40">
        <v>1</v>
      </c>
      <c r="B40">
        <f>_xlfn.QUARTILE.INC(B5:B14,3)-_xlfn.QUARTILE.INC(B5:B14,1)</f>
        <v>8.5</v>
      </c>
      <c r="D40">
        <v>1</v>
      </c>
      <c r="E40">
        <f>KURT(B5:B14)</f>
        <v>-0.92483000409971394</v>
      </c>
    </row>
    <row r="41" spans="1:5" x14ac:dyDescent="0.35">
      <c r="A41">
        <v>2</v>
      </c>
      <c r="B41">
        <f>_xlfn.QUARTILE.INC(C5:C14,3)-_xlfn.QUARTILE.INC(C5:C14,1)</f>
        <v>4.25</v>
      </c>
      <c r="D41">
        <v>2</v>
      </c>
      <c r="E41">
        <f>KURT(C5:C14)</f>
        <v>-4.6667406458378302E-2</v>
      </c>
    </row>
    <row r="43" spans="1:5" x14ac:dyDescent="0.35">
      <c r="A43" s="20" t="s">
        <v>55</v>
      </c>
      <c r="B43" s="20" t="s">
        <v>56</v>
      </c>
    </row>
    <row r="44" spans="1:5" x14ac:dyDescent="0.35">
      <c r="A44">
        <v>1</v>
      </c>
      <c r="B44" s="22">
        <f>_xlfn.VAR.S(B5:B14)</f>
        <v>33.788888888888884</v>
      </c>
    </row>
    <row r="45" spans="1:5" x14ac:dyDescent="0.35">
      <c r="A45">
        <v>2</v>
      </c>
      <c r="B45" s="22">
        <f>_xlfn.VAR.S(C5:C14)</f>
        <v>19.833333333333332</v>
      </c>
    </row>
    <row r="47" spans="1:5" x14ac:dyDescent="0.35">
      <c r="A47" s="20" t="s">
        <v>52</v>
      </c>
      <c r="B47" s="20" t="s">
        <v>57</v>
      </c>
    </row>
    <row r="48" spans="1:5" x14ac:dyDescent="0.35">
      <c r="A48">
        <v>1</v>
      </c>
      <c r="B48">
        <f>_xlfn.STDEV.S(B5:B14)</f>
        <v>5.8128210783481791</v>
      </c>
    </row>
    <row r="49" spans="1:2" x14ac:dyDescent="0.35">
      <c r="A49">
        <v>2</v>
      </c>
      <c r="B49">
        <f>_xlfn.STDEV.S(C5:C14)</f>
        <v>4.4534630719624619</v>
      </c>
    </row>
    <row r="50" spans="1:2" ht="15" thickBot="1" x14ac:dyDescent="0.4"/>
    <row r="51" spans="1:2" ht="15.5" thickTop="1" thickBot="1" x14ac:dyDescent="0.4">
      <c r="A51" s="23" t="s">
        <v>46</v>
      </c>
      <c r="B51" s="23">
        <f>CORREL(Table9[Test1 Score],Table9[Test2 Score])</f>
        <v>0.74468423315580434</v>
      </c>
    </row>
    <row r="52" spans="1:2" ht="15" thickTop="1" x14ac:dyDescent="0.35"/>
  </sheetData>
  <mergeCells count="1">
    <mergeCell ref="A1:E2"/>
  </mergeCells>
  <pageMargins left="0.7" right="0.7" top="0.75" bottom="0.75" header="0.3" footer="0.3"/>
  <drawing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2C7C-C8AF-48CA-A7E1-638FA06984C7}">
  <dimension ref="A1:E13"/>
  <sheetViews>
    <sheetView tabSelected="1" workbookViewId="0">
      <selection activeCell="D25" sqref="D25"/>
    </sheetView>
  </sheetViews>
  <sheetFormatPr defaultRowHeight="14.5" x14ac:dyDescent="0.35"/>
  <cols>
    <col min="1" max="1" width="10.26953125" customWidth="1"/>
    <col min="2" max="2" width="12.90625" customWidth="1"/>
    <col min="3" max="3" width="12.453125" customWidth="1"/>
  </cols>
  <sheetData>
    <row r="1" spans="1:5" ht="20" thickBot="1" x14ac:dyDescent="0.5">
      <c r="A1" s="24" t="s">
        <v>60</v>
      </c>
      <c r="B1" s="24"/>
      <c r="C1" s="24"/>
      <c r="D1" s="24"/>
      <c r="E1" s="24"/>
    </row>
    <row r="2" spans="1:5" ht="15" thickTop="1" x14ac:dyDescent="0.35"/>
    <row r="3" spans="1:5" x14ac:dyDescent="0.35">
      <c r="A3" s="20" t="s">
        <v>36</v>
      </c>
      <c r="B3" s="20" t="s">
        <v>37</v>
      </c>
      <c r="C3" s="20" t="s">
        <v>38</v>
      </c>
      <c r="D3" s="20" t="s">
        <v>39</v>
      </c>
      <c r="E3" s="20" t="s">
        <v>0</v>
      </c>
    </row>
    <row r="4" spans="1:5" x14ac:dyDescent="0.35">
      <c r="A4">
        <v>1</v>
      </c>
      <c r="B4">
        <v>85</v>
      </c>
      <c r="C4">
        <v>92</v>
      </c>
      <c r="D4">
        <v>19</v>
      </c>
      <c r="E4" t="s">
        <v>13</v>
      </c>
    </row>
    <row r="5" spans="1:5" x14ac:dyDescent="0.35">
      <c r="A5">
        <v>2</v>
      </c>
      <c r="B5">
        <v>92</v>
      </c>
      <c r="C5">
        <v>87</v>
      </c>
      <c r="D5">
        <v>20</v>
      </c>
      <c r="E5" t="s">
        <v>8</v>
      </c>
    </row>
    <row r="6" spans="1:5" x14ac:dyDescent="0.35">
      <c r="A6">
        <v>3</v>
      </c>
      <c r="B6">
        <v>78</v>
      </c>
      <c r="C6">
        <v>80</v>
      </c>
      <c r="D6">
        <v>18</v>
      </c>
      <c r="E6" t="s">
        <v>13</v>
      </c>
    </row>
    <row r="7" spans="1:5" x14ac:dyDescent="0.35">
      <c r="A7">
        <v>4</v>
      </c>
      <c r="B7">
        <v>85</v>
      </c>
      <c r="C7">
        <v>89</v>
      </c>
      <c r="D7">
        <v>19</v>
      </c>
      <c r="E7" t="s">
        <v>13</v>
      </c>
    </row>
    <row r="8" spans="1:5" x14ac:dyDescent="0.35">
      <c r="A8">
        <v>5</v>
      </c>
      <c r="B8">
        <v>90</v>
      </c>
      <c r="C8">
        <v>95</v>
      </c>
      <c r="D8">
        <v>21</v>
      </c>
      <c r="E8" t="s">
        <v>8</v>
      </c>
    </row>
    <row r="9" spans="1:5" x14ac:dyDescent="0.35">
      <c r="A9">
        <v>6</v>
      </c>
      <c r="B9">
        <v>75</v>
      </c>
      <c r="C9">
        <v>82</v>
      </c>
      <c r="D9">
        <v>18</v>
      </c>
      <c r="E9" t="s">
        <v>13</v>
      </c>
    </row>
    <row r="10" spans="1:5" x14ac:dyDescent="0.35">
      <c r="A10">
        <v>7</v>
      </c>
      <c r="B10">
        <v>83</v>
      </c>
      <c r="C10">
        <v>87</v>
      </c>
      <c r="D10">
        <v>20</v>
      </c>
      <c r="E10" t="s">
        <v>8</v>
      </c>
    </row>
    <row r="11" spans="1:5" x14ac:dyDescent="0.35">
      <c r="A11">
        <v>8</v>
      </c>
      <c r="B11">
        <v>92</v>
      </c>
      <c r="C11">
        <v>90</v>
      </c>
      <c r="D11">
        <v>19</v>
      </c>
      <c r="E11" t="s">
        <v>13</v>
      </c>
    </row>
    <row r="12" spans="1:5" x14ac:dyDescent="0.35">
      <c r="A12">
        <v>9</v>
      </c>
      <c r="B12">
        <v>80</v>
      </c>
      <c r="C12">
        <v>85</v>
      </c>
      <c r="D12">
        <v>18</v>
      </c>
      <c r="E12" t="s">
        <v>8</v>
      </c>
    </row>
    <row r="13" spans="1:5" x14ac:dyDescent="0.35">
      <c r="A13">
        <v>10</v>
      </c>
      <c r="B13">
        <v>87</v>
      </c>
      <c r="C13">
        <v>88</v>
      </c>
      <c r="D13">
        <v>20</v>
      </c>
      <c r="E13" t="s">
        <v>8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Employee_data</vt:lpstr>
      <vt:lpstr>Analysis_emp</vt:lpstr>
      <vt:lpstr>Analysis_Stu</vt:lpstr>
      <vt:lpstr>Student_Data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Param Siddhpura</cp:lastModifiedBy>
  <dcterms:created xsi:type="dcterms:W3CDTF">2026-07-07T05:44:09Z</dcterms:created>
  <dcterms:modified xsi:type="dcterms:W3CDTF">2026-08-24T18:47:14Z</dcterms:modified>
</cp:coreProperties>
</file>